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repos\howden-cosmo\filesystem-resources\DefaultInstanceData\ProduktMaschine\standard\hpst\"/>
    </mc:Choice>
  </mc:AlternateContent>
  <bookViews>
    <workbookView xWindow="-120" yWindow="-120" windowWidth="29040" windowHeight="15840"/>
  </bookViews>
  <sheets>
    <sheet name="Fragenkatalog" sheetId="1" r:id="rId1"/>
    <sheet name="Datenabzug" sheetId="2" r:id="rId2"/>
    <sheet name="Referrals" sheetId="5" r:id="rId3"/>
    <sheet name="Listen-Daten" sheetId="3" r:id="rId4"/>
    <sheet name="SIC-TAW-Codes" sheetId="4" r:id="rId5"/>
    <sheet name="Prämie - Arag" sheetId="13" r:id="rId6"/>
    <sheet name="Arag-Tarif" sheetId="14" r:id="rId7"/>
    <sheet name="Prämie - Roland" sheetId="6" r:id="rId8"/>
    <sheet name="Roland-Tarif" sheetId="7" r:id="rId9"/>
    <sheet name="Roland-PuA-Tarif" sheetId="8" r:id="rId10"/>
    <sheet name="Zuschläge-Tarif" sheetId="9" r:id="rId11"/>
    <sheet name="Zuschläge-PuA-Tarif" sheetId="10" r:id="rId12"/>
    <sheet name="Mappings" sheetId="11" r:id="rId13"/>
    <sheet name="VersichererDaten" sheetId="12" r:id="rId14"/>
  </sheets>
  <definedNames>
    <definedName name="anzahlMitarbeiterGesamt">Referrals!$B$13</definedName>
    <definedName name="anzahlMitarbeiterGF">Fragenkatalog!$B$15</definedName>
    <definedName name="anzahlMitarbeiterTZ">Fragenkatalog!$B$14</definedName>
    <definedName name="anzahlMitarbeiterVZ">Fragenkatalog!$B$13</definedName>
    <definedName name="arag_PremiumAdjustment">'SIC-TAW-Codes'!$T$6</definedName>
    <definedName name="arag_Referral">'SIC-TAW-Codes'!$S$6</definedName>
    <definedName name="aragLimit1CoopBrokerNetProvision">Datenabzug!$I$17</definedName>
    <definedName name="aragLimit1EmployeeGraduation">Datenabzug!$N$17</definedName>
    <definedName name="aragLimit1HowdenNetProvision">Datenabzug!$H$17</definedName>
    <definedName name="aragLimit1MinimumPremium">Datenabzug!$L$17</definedName>
    <definedName name="aragLimit1Offered">Datenabzug!$C$17</definedName>
    <definedName name="aragLimit1Premium">Datenabzug!$E$17</definedName>
    <definedName name="aragLimit1PremiumPerEmployee">Datenabzug!$K$17</definedName>
    <definedName name="aragLimit1PremiumType">Datenabzug!$M$17</definedName>
    <definedName name="aragLimit1Stars">Datenabzug!$F$17</definedName>
    <definedName name="aragLimit1Status">Datenabzug!$G$17</definedName>
    <definedName name="aragLimit1SublimitOffered">Datenabzug!$D$17</definedName>
    <definedName name="aragLimit1UsedClauses">Datenabzug!$J$17</definedName>
    <definedName name="aragLimit2CoopBrokerNetProvision">Datenabzug!$I$18</definedName>
    <definedName name="aragLimit2EmployeeGraduation">Datenabzug!$N$18</definedName>
    <definedName name="aragLimit2HowdenNetProvision">Datenabzug!$H$18</definedName>
    <definedName name="aragLimit2MinimumPremium">Datenabzug!$L$18</definedName>
    <definedName name="aragLimit2Offered">Datenabzug!$C$18</definedName>
    <definedName name="aragLimit2Premium">Datenabzug!$E$18</definedName>
    <definedName name="aragLimit2PremiumPerEmployee">Datenabzug!$K$18</definedName>
    <definedName name="aragLimit2PremiumType">Datenabzug!$M$18</definedName>
    <definedName name="aragLimit2Stars">Datenabzug!$F$18</definedName>
    <definedName name="aragLimit2Status">Datenabzug!$G$18</definedName>
    <definedName name="aragLimit2SublimitOffered">Datenabzug!$D$18</definedName>
    <definedName name="aragLimit2UsedClauses">Datenabzug!$J$18</definedName>
    <definedName name="aragLimit3CoopBrokerNetProvision">Datenabzug!$I$19</definedName>
    <definedName name="aragLimit3EmployeeGraduation">Datenabzug!$N$19</definedName>
    <definedName name="aragLimit3HowdenNetProvision">Datenabzug!$H$19</definedName>
    <definedName name="aragLimit3MinimumPremium">Datenabzug!$L$19</definedName>
    <definedName name="aragLimit3Offered">Datenabzug!$C$19</definedName>
    <definedName name="aragLimit3Premium">Datenabzug!$E$19</definedName>
    <definedName name="aragLimit3PremiumPerEmployee">Datenabzug!$K$19</definedName>
    <definedName name="aragLimit3PremiumType">Datenabzug!$M$19</definedName>
    <definedName name="aragLimit3Stars">Datenabzug!$F$19</definedName>
    <definedName name="aragLimit3Status">Datenabzug!$G$19</definedName>
    <definedName name="aragLimit3SublimitOffered">Datenabzug!$D$19</definedName>
    <definedName name="aragLimit3UsedClauses">Datenabzug!$J$19</definedName>
    <definedName name="aragLimit4CoopBrokerNetProvision">Datenabzug!$I$20</definedName>
    <definedName name="aragLimit4EmployeeGraduation">Datenabzug!$N$20</definedName>
    <definedName name="aragLimit4HowdenNetProvision">Datenabzug!$H$20</definedName>
    <definedName name="aragLimit4MinimumPremium">Datenabzug!$L$20</definedName>
    <definedName name="aragLimit4Offered">Datenabzug!$C$20</definedName>
    <definedName name="aragLimit4Premium">Datenabzug!$E$20</definedName>
    <definedName name="aragLimit4PremiumPerEmployee">Datenabzug!$K$20</definedName>
    <definedName name="aragLimit4PremiumType">Datenabzug!$M$20</definedName>
    <definedName name="aragLimit4Stars">Datenabzug!$F$20</definedName>
    <definedName name="aragLimit4Status">Datenabzug!$G$20</definedName>
    <definedName name="aragLimit4SublimitOffered">Datenabzug!$D$20</definedName>
    <definedName name="aragLimit4UsedClauses">Datenabzug!$J$20</definedName>
    <definedName name="aragLimit5CoopBrokerNetProvision">Datenabzug!$I$21</definedName>
    <definedName name="aragLimit5EmployeeGraduation">Datenabzug!$N$21</definedName>
    <definedName name="aragLimit5HowdenNetProvision">Datenabzug!$H$21</definedName>
    <definedName name="aragLimit5MinimumPremium">Datenabzug!$L$21</definedName>
    <definedName name="aragLimit5Offered">Datenabzug!$C$21</definedName>
    <definedName name="aragLimit5Premium">Datenabzug!$E$21</definedName>
    <definedName name="aragLimit5PremiumPerEmployee">Datenabzug!$K$21</definedName>
    <definedName name="aragLimit5PremiumType">Datenabzug!$M$21</definedName>
    <definedName name="aragLimit5Stars">Datenabzug!$F$21</definedName>
    <definedName name="aragLimit5Status">Datenabzug!$G$21</definedName>
    <definedName name="aragLimit5SublimitOffered">Datenabzug!$D$21</definedName>
    <definedName name="aragLimit5UsedClauses">Datenabzug!$J$21</definedName>
    <definedName name="aragLimit6CoopBrokerNetProvision">Datenabzug!$I$22</definedName>
    <definedName name="aragLimit6EmployeeGraduation">Datenabzug!$N$22</definedName>
    <definedName name="aragLimit6HowdenNetProvision">Datenabzug!$H$22</definedName>
    <definedName name="aragLimit6MinimumPremium">Datenabzug!$L$22</definedName>
    <definedName name="aragLimit6Offered">Datenabzug!$C$22</definedName>
    <definedName name="aragLimit6Premium">Datenabzug!$E$22</definedName>
    <definedName name="aragLimit6PremiumPerEmployee">Datenabzug!$K$22</definedName>
    <definedName name="aragLimit6PremiumType">Datenabzug!$M$22</definedName>
    <definedName name="aragLimit6Stars">Datenabzug!$F$22</definedName>
    <definedName name="aragLimit6Status">Datenabzug!$G$22</definedName>
    <definedName name="aragLimit6SublimitOffered">Datenabzug!$D$22</definedName>
    <definedName name="aragLimit6UsedClauses">Datenabzug!$J$22</definedName>
    <definedName name="aragRiskManagerGlobalState">VersichererDaten!$C$2</definedName>
    <definedName name="aragTawCode">Datenabzug!$B$11</definedName>
    <definedName name="aragTawDescription">Datenabzug!$B$12</definedName>
    <definedName name="CoInsuredCompaniesExist">Fragenkatalog!$B$36</definedName>
    <definedName name="coopbrokerCourtageHPST">Fragenkatalog!$B$19</definedName>
    <definedName name="DaughterAndCoInsuredCompanies">Fragenkatalog!$B$16</definedName>
    <definedName name="deckungssummevorversicherer">Fragenkatalog!$B$24</definedName>
    <definedName name="geltungsbereich">Fragenkatalog!$B$17</definedName>
    <definedName name="IndustryCodeSublimit">Referrals!$B$48</definedName>
    <definedName name="kartellrechtAusgabe">Mappings!$C$54</definedName>
    <definedName name="kartellrechtEingabe">Mappings!$B$54</definedName>
    <definedName name="limit1">Fragenkatalog!$B$5</definedName>
    <definedName name="limit2">Fragenkatalog!$B$7</definedName>
    <definedName name="limit3">Fragenkatalog!$B$9</definedName>
    <definedName name="OfferDeclined">'Listen-Daten'!$I$3</definedName>
    <definedName name="OfferReady">'Listen-Daten'!$I$2</definedName>
    <definedName name="OfferReferral">'Listen-Daten'!$I$4</definedName>
    <definedName name="OfferReferralNoPremium">'Listen-Daten'!$I$5</definedName>
    <definedName name="pbsAusgabe">Mappings!$C$22</definedName>
    <definedName name="pbsEingabe">Mappings!$B$22</definedName>
    <definedName name="previousContractInsurer">Fragenkatalog!$B$21</definedName>
    <definedName name="RisikoFrageClaims1a">Fragenkatalog!$B$25</definedName>
    <definedName name="RisikoFrageClaims1b">Fragenkatalog!$B$26</definedName>
    <definedName name="RisikoFrageClaims1c">Fragenkatalog!$B$22</definedName>
    <definedName name="RisikoFragen0a">Fragenkatalog!$B$3</definedName>
    <definedName name="RisikoFragen0b">Fragenkatalog!$B$4</definedName>
    <definedName name="RisikoFragen902">Fragenkatalog!$B$18</definedName>
    <definedName name="RisikoFrageQ2a">Fragenkatalog!$B$27</definedName>
    <definedName name="RisikoFrageQ2b">Fragenkatalog!$B$28</definedName>
    <definedName name="RisikoFrageQ3a">Fragenkatalog!$B$29</definedName>
    <definedName name="RisikoFrageQ4a">Fragenkatalog!$B$33</definedName>
    <definedName name="RisikoFrageQ4b">Fragenkatalog!$B$34</definedName>
    <definedName name="RisikoFrageQ4c">Fragenkatalog!$B$35</definedName>
    <definedName name="RisikoFrageQ5a">Fragenkatalog!$B$30</definedName>
    <definedName name="RisikoFrageQ5b">Fragenkatalog!$B$31</definedName>
    <definedName name="RisikoFrageQ6">Fragenkatalog!$B$32</definedName>
    <definedName name="rolandLimit1CoopBrokerNetProvision">Datenabzug!$I$2</definedName>
    <definedName name="rolandLimit1HowdenNetProvision">Datenabzug!$H$2</definedName>
    <definedName name="rolandLimit1Offered">Datenabzug!$C$2</definedName>
    <definedName name="rolandLimit1Premium">Datenabzug!$E$2</definedName>
    <definedName name="rolandLimit1Stars">Datenabzug!$F$2</definedName>
    <definedName name="rolandLimit1Status">Datenabzug!$G$2</definedName>
    <definedName name="rolandLimit1SublimitOffered">Datenabzug!$D$2</definedName>
    <definedName name="rolandLimit1UsedClauses">Datenabzug!$J$2</definedName>
    <definedName name="rolandLimit2CoopBrokerNetProvision">Datenabzug!$I$3</definedName>
    <definedName name="rolandLimit2HowdenNetProvision">Datenabzug!$H$3</definedName>
    <definedName name="rolandLimit2Offered">Datenabzug!$C$3</definedName>
    <definedName name="rolandLimit2Premium">Datenabzug!$E$3</definedName>
    <definedName name="rolandLimit2Stars">Datenabzug!$F$3</definedName>
    <definedName name="rolandLimit2Status">Datenabzug!$G$3</definedName>
    <definedName name="rolandLimit2SublimitOffered">Datenabzug!$D$3</definedName>
    <definedName name="rolandLimit2UsedClauses">Datenabzug!$J$3</definedName>
    <definedName name="rolandLimit3CoopBrokerNetProvision">Datenabzug!$I$4</definedName>
    <definedName name="rolandLimit3HowdenNetProvision">Datenabzug!$H$4</definedName>
    <definedName name="rolandLimit3Offered">Datenabzug!$C$4</definedName>
    <definedName name="rolandLimit3Premium">Datenabzug!$E$4</definedName>
    <definedName name="rolandLimit3Stars">Datenabzug!$F$4</definedName>
    <definedName name="rolandLimit3Status">Datenabzug!$G$4</definedName>
    <definedName name="rolandLimit3SublimitOffered">Datenabzug!$D$4</definedName>
    <definedName name="rolandLimit3UsedClauses">Datenabzug!$J$4</definedName>
    <definedName name="rolandLimit4CoopBrokerNetProvision">Datenabzug!$I$5</definedName>
    <definedName name="rolandLimit4HowdenNetProvision">Datenabzug!$H$5</definedName>
    <definedName name="rolandLimit4Offered">Datenabzug!$C$5</definedName>
    <definedName name="rolandLimit4Premium">Datenabzug!$E$5</definedName>
    <definedName name="rolandLimit4Stars">Datenabzug!$F$5</definedName>
    <definedName name="rolandLimit4Status">Datenabzug!$G$5</definedName>
    <definedName name="rolandLimit4SublimitOffered">Datenabzug!$D$5</definedName>
    <definedName name="rolandLimit4UsedClauses">Datenabzug!$J$5</definedName>
    <definedName name="rolandLimit5CoopBrokerNetProvision">Datenabzug!$I$6</definedName>
    <definedName name="rolandLimit5HowdenNetProvision">Datenabzug!$H$6</definedName>
    <definedName name="rolandLimit5Offered">Datenabzug!$C$6</definedName>
    <definedName name="rolandLimit5Premium">Datenabzug!$E$6</definedName>
    <definedName name="rolandLimit5Stars">Datenabzug!$F$6</definedName>
    <definedName name="rolandLimit5Status">Datenabzug!$G$6</definedName>
    <definedName name="rolandLimit5SublimitOffered">Datenabzug!$D$6</definedName>
    <definedName name="rolandLimit5UsedClauses">Datenabzug!$J$6</definedName>
    <definedName name="rolandLimit6CoopBrokerNetProvision">Datenabzug!$I$7</definedName>
    <definedName name="rolandLimit6HowdenNetProvision">Datenabzug!$H$7</definedName>
    <definedName name="rolandLimit6Offered">Datenabzug!$C$7</definedName>
    <definedName name="rolandLimit6Premium">Datenabzug!$E$7</definedName>
    <definedName name="rolandLimit6Stars">Datenabzug!$F$7</definedName>
    <definedName name="rolandLimit6Status">Datenabzug!$G$7</definedName>
    <definedName name="rolandLimit6SublimitOffered">Datenabzug!$D$7</definedName>
    <definedName name="rolandLimit6UsedClauses">Datenabzug!$J$7</definedName>
    <definedName name="rolandRiskManagerGlobalState">VersichererDaten!$B$2</definedName>
    <definedName name="rolandTawCode">Datenabzug!$B$13</definedName>
    <definedName name="rolandTawDescription">Datenabzug!$B$14</definedName>
    <definedName name="SIC2branche">Fragenkatalog!$B$11</definedName>
    <definedName name="StammDaten2">Fragenkatalog!$B$12</definedName>
    <definedName name="StammDaten3">Fragenkatalog!$B$2</definedName>
    <definedName name="strafRSAusgabe">Mappings!$C$38</definedName>
    <definedName name="strafRSEingabe">Mappings!$B$38</definedName>
    <definedName name="sublimit1">Fragenkatalog!$B$6</definedName>
    <definedName name="sublimit2">Fragenkatalog!$B$8</definedName>
    <definedName name="sublimit3">Fragenkatalog!$B$10</definedName>
    <definedName name="TAWcode">Datenabzug!$B$9</definedName>
    <definedName name="TAWDescription">Datenabzug!$B$10</definedName>
    <definedName name="triggerAnzahlMitarbeiterGesamtReason">Referrals!$N$13</definedName>
    <definedName name="triggeraragAnzahlMitarbeiterGesamtValue">Referrals!$H$13</definedName>
    <definedName name="triggeraragCoInsuredCompaniesExistValue">Referrals!$H$34</definedName>
    <definedName name="triggeraragCompaniesOutsideofGerValue">Referrals!$H$14</definedName>
    <definedName name="triggeraragRisikoFrageClaims1aValue">Referrals!$H$23</definedName>
    <definedName name="triggeraragRisikoFrageClaims1bValue">Referrals!$H$24</definedName>
    <definedName name="triggeraragRisikoFragen0aValue">Referrals!$H$4</definedName>
    <definedName name="triggeraragRisikoFragen0Value">Referrals!$H$6</definedName>
    <definedName name="triggeraragRisikoFrageQ2aValue">Referrals!$H$25</definedName>
    <definedName name="triggeraragRisikoFrageQ2bValue">Referrals!$H$26</definedName>
    <definedName name="triggeraragRisikoFrageQ3aValue">Referrals!$H$27</definedName>
    <definedName name="triggeraragRisikoFrageQ5aValue">Referrals!$H$28</definedName>
    <definedName name="triggeraragRisikoFrageQ5bValue">Referrals!$H$29</definedName>
    <definedName name="triggeraragRiskManagerGlobalStateValue">Referrals!$H$35</definedName>
    <definedName name="triggeraragSIC2brancheValue">Referrals!$H$7</definedName>
    <definedName name="triggeraragStammDaten2Value">Referrals!$H$9</definedName>
    <definedName name="triggeraragStammDaten3Value">Referrals!$H$3</definedName>
    <definedName name="triggeraragVorvertragValue">Referrals!$H$18</definedName>
    <definedName name="triggerCoInsuredCompaniesExistReason">Referrals!$N$34</definedName>
    <definedName name="triggerCompaniesOutsideofGerReason">Referrals!$N$14</definedName>
    <definedName name="triggerKartellrolandRisikoFrageQ4aValue">Referrals!$D$31</definedName>
    <definedName name="triggerKartellrolandRisikoFrageQ4bValue">Referrals!$D$32</definedName>
    <definedName name="triggerKartellrolandRisikoFrageQ4cValue">Referrals!$D$33</definedName>
    <definedName name="triggerLimit1aragLimitAragValue">Referrals!$H$40</definedName>
    <definedName name="triggerLimit1aragPremiumAragValue">Referrals!$J$40</definedName>
    <definedName name="triggerLimit1aragSublimitAragValue">Referrals!$I$40</definedName>
    <definedName name="triggerLimit1rolandLimitRolandValue">Referrals!$C$40</definedName>
    <definedName name="triggerLimit1rolandPremiumRolandValue">Referrals!$E$40</definedName>
    <definedName name="triggerLimit1rolandSublimitRolandValue">Referrals!$D$40</definedName>
    <definedName name="triggerLimit2aragLimitAragValue">Referrals!$H$41</definedName>
    <definedName name="triggerLimit2aragPremiumAragValue">Referrals!$J$41</definedName>
    <definedName name="triggerLimit2rolandLimitRolandValue">Referrals!$C$41</definedName>
    <definedName name="triggerLimit2rolandPremiumRolandValue">Referrals!$E$41</definedName>
    <definedName name="triggerLimit3aragLimitAragValue">Referrals!$H$42</definedName>
    <definedName name="triggerLimit3aragPremiumAragValue">Referrals!$J$42</definedName>
    <definedName name="triggerLimit3aragSublimitAragValue">Referrals!$I$42</definedName>
    <definedName name="triggerLimit3rolandLimitRolandValue">Referrals!$C$42</definedName>
    <definedName name="triggerLimit3rolandPremiumRolandValue">Referrals!$E$42</definedName>
    <definedName name="triggerLimit3rolandSublimitRolandValue">Referrals!$D$42</definedName>
    <definedName name="triggerLimit4aragLimitAragValue">Referrals!$H$43</definedName>
    <definedName name="triggerLimit4aragPremiumAragValue">Referrals!$J$43</definedName>
    <definedName name="triggerLimit4rolandLimitRolandValue">Referrals!$C$43</definedName>
    <definedName name="triggerLimit4rolandPremiumRolandValue">Referrals!$E$43</definedName>
    <definedName name="triggerLimit5aragLimitAragValue">Referrals!$H$44</definedName>
    <definedName name="triggerLimit5aragPremiumAragValue">Referrals!$J$44</definedName>
    <definedName name="triggerLimit5aragSublimitAragValue">Referrals!$I$44</definedName>
    <definedName name="triggerLimit5rolandLimitRolandValue">Referrals!$C$44</definedName>
    <definedName name="triggerLimit5rolandPremiumRolandValue">Referrals!$E$44</definedName>
    <definedName name="triggerLimit5rolandSublimitRolandValue">Referrals!$D$44</definedName>
    <definedName name="triggerLimit6aragLimitAragValue">Referrals!$H$45</definedName>
    <definedName name="triggerLimit6aragPremiumAragValue">Referrals!$J$45</definedName>
    <definedName name="triggerLimit6rolandLimitRolandValue">Referrals!$C$45</definedName>
    <definedName name="triggerLimit6rolandPremiumRolandValue">Referrals!$E$45</definedName>
    <definedName name="triggerLimitAragReason">Referrals!$H$47</definedName>
    <definedName name="triggerLimitRolandReason">Referrals!$C$47</definedName>
    <definedName name="triggerPremiumAragReason">Referrals!$J$47</definedName>
    <definedName name="triggerPremiumRolandReason">Referrals!$E$47</definedName>
    <definedName name="triggerRisikoFrageClaims1aReason">Referrals!$N$23</definedName>
    <definedName name="triggerRisikoFrageClaims1bReason">Referrals!$N$24</definedName>
    <definedName name="triggerRisikoFragen0aReason">Referrals!$N$4</definedName>
    <definedName name="triggerRisikoFragen0Reason">Referrals!$N$6</definedName>
    <definedName name="triggerRisikoFrageQ2aReason">Referrals!$N$25</definedName>
    <definedName name="triggerRisikoFrageQ2bReason">Referrals!$N$26</definedName>
    <definedName name="triggerRisikoFrageQ3aReason">Referrals!$N$27</definedName>
    <definedName name="triggerRisikoFrageQ4aReason">Referrals!$O$31</definedName>
    <definedName name="triggerRisikoFrageQ4bReason">Referrals!$O$32</definedName>
    <definedName name="triggerRisikoFrageQ4cReason">Referrals!$O$33</definedName>
    <definedName name="triggerRisikoFrageQ5aReason">Referrals!$N$28</definedName>
    <definedName name="triggerRisikoFrageQ5bReason">Referrals!$N$29</definedName>
    <definedName name="triggerRiskManagerGlobalStateReason">Referrals!$N$35</definedName>
    <definedName name="triggerrolandAnzahlMitarbeiterGesamtValue">Referrals!$C$13</definedName>
    <definedName name="triggerrolandCoInsuredCompaniesExistValue">Referrals!$C$34</definedName>
    <definedName name="triggerrolandCompaniesOutsideofGerValue">Referrals!$C$14</definedName>
    <definedName name="triggerrolandRisikoFrageClaims1aValue">Referrals!$C$23</definedName>
    <definedName name="triggerrolandRisikoFrageClaims1bValue">Referrals!$C$24</definedName>
    <definedName name="triggerrolandRisikoFragen0aValue">Referrals!$C$4</definedName>
    <definedName name="triggerrolandRisikoFragen0Value">Referrals!$C$6</definedName>
    <definedName name="triggerrolandRisikoFrageQ2aValue">Referrals!$C$25</definedName>
    <definedName name="triggerrolandRisikoFrageQ2bValue">Referrals!$C$26</definedName>
    <definedName name="triggerrolandRisikoFrageQ3aValue">Referrals!$C$27</definedName>
    <definedName name="triggerrolandRisikoFrageQ5aValue">Referrals!$C$28</definedName>
    <definedName name="triggerrolandRisikoFrageQ5bValue">Referrals!$C$29</definedName>
    <definedName name="triggerrolandRiskManagerGlobalStateValue">Referrals!$C$35</definedName>
    <definedName name="triggerrolandSIC2brancheValue">Referrals!$C$8</definedName>
    <definedName name="triggerrolandStammDaten3Value">Referrals!$C$3</definedName>
    <definedName name="triggerrolandVorvertragValue">Referrals!$C$18</definedName>
    <definedName name="triggerSIC2brancheReason">Referrals!$N$8</definedName>
    <definedName name="triggerStammDaten2Reason">Referrals!$N$9</definedName>
    <definedName name="triggerStammDaten3Reason">Referrals!$N$3</definedName>
    <definedName name="triggerSublimitAragReason">Referrals!$I$47</definedName>
    <definedName name="triggerSublimitRolandReason">Referrals!$D$47</definedName>
    <definedName name="triggerVorvertragReason">Referrals!$N$18</definedName>
    <definedName name="uhaftAusgabe">Mappings!$C$70</definedName>
    <definedName name="uhaftEingabe">Mappings!$B$70</definedName>
    <definedName name="versicherungsscheinnummer">Fragenkatalog!$B$23</definedName>
    <definedName name="vorvertrag">Fragenkatalog!$B$20</definedName>
    <definedName name="zahlweiseAusgabe">Mappings!$C$9</definedName>
    <definedName name="zahlweiseEingabe">Mappings!$B$9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5" l="1"/>
  <c r="F37" i="5" s="1"/>
  <c r="C28" i="5"/>
  <c r="F34" i="5" l="1"/>
  <c r="H34" i="5" l="1"/>
  <c r="C34" i="5"/>
  <c r="C36" i="1"/>
  <c r="B34" i="5" a="1"/>
  <c r="B34" i="5" s="1"/>
  <c r="B19" i="5" l="1"/>
  <c r="C21" i="1"/>
  <c r="H7" i="5" l="1"/>
  <c r="D21" i="14" l="1"/>
  <c r="E21" i="14"/>
  <c r="D22" i="14"/>
  <c r="E22" i="14"/>
  <c r="D23" i="14"/>
  <c r="D24" i="14"/>
  <c r="D25" i="14"/>
  <c r="D26" i="14"/>
  <c r="E23" i="14"/>
  <c r="E24" i="14"/>
  <c r="E25" i="14"/>
  <c r="E26" i="14"/>
  <c r="K18" i="2" l="1"/>
  <c r="K22" i="2"/>
  <c r="K21" i="2"/>
  <c r="K20" i="2"/>
  <c r="K19" i="2"/>
  <c r="K17" i="2"/>
  <c r="L18" i="2"/>
  <c r="L21" i="2"/>
  <c r="L17" i="2"/>
  <c r="L22" i="2"/>
  <c r="L20" i="2"/>
  <c r="L19" i="2"/>
  <c r="K45" i="5" l="1"/>
  <c r="K44" i="5"/>
  <c r="K43" i="5"/>
  <c r="K42" i="5"/>
  <c r="K41" i="5"/>
  <c r="K40" i="5"/>
  <c r="J20" i="2" l="1"/>
  <c r="J22" i="2" l="1"/>
  <c r="J21" i="2"/>
  <c r="J18" i="2"/>
  <c r="J17" i="2"/>
  <c r="J19" i="2"/>
  <c r="C12" i="1"/>
  <c r="B9" i="5" s="1"/>
  <c r="H9" i="5" s="1"/>
  <c r="K25" i="13" l="1"/>
  <c r="K26" i="13"/>
  <c r="K27" i="13"/>
  <c r="K28" i="13"/>
  <c r="K29" i="13"/>
  <c r="K30" i="13"/>
  <c r="J26" i="6"/>
  <c r="J27" i="6"/>
  <c r="J28" i="6"/>
  <c r="J29" i="6"/>
  <c r="J30" i="6"/>
  <c r="J25" i="6"/>
  <c r="H42" i="5" l="1"/>
  <c r="I37" i="5" l="1"/>
  <c r="I44" i="5"/>
  <c r="I42" i="5"/>
  <c r="I40" i="5"/>
  <c r="A12" i="13" l="1"/>
  <c r="F18" i="2" l="1"/>
  <c r="F19" i="2"/>
  <c r="F20" i="2"/>
  <c r="F21" i="2"/>
  <c r="F22" i="2"/>
  <c r="F17" i="2"/>
  <c r="F3" i="2"/>
  <c r="F4" i="2"/>
  <c r="F5" i="2"/>
  <c r="F6" i="2"/>
  <c r="F7" i="2"/>
  <c r="F2" i="2"/>
  <c r="H43" i="5" l="1"/>
  <c r="H45" i="5"/>
  <c r="H44" i="5"/>
  <c r="H41" i="5"/>
  <c r="H40" i="5"/>
  <c r="C42" i="5"/>
  <c r="C35" i="5" l="1"/>
  <c r="B21" i="13" l="1"/>
  <c r="B21" i="6"/>
  <c r="H35" i="5" l="1"/>
  <c r="I29" i="13"/>
  <c r="C29" i="13"/>
  <c r="D21" i="2" s="1"/>
  <c r="I27" i="13"/>
  <c r="C27" i="13"/>
  <c r="D19" i="2" s="1"/>
  <c r="I25" i="13"/>
  <c r="C25" i="13"/>
  <c r="D17" i="2" s="1"/>
  <c r="B15" i="13"/>
  <c r="B14" i="13"/>
  <c r="B12" i="13"/>
  <c r="B11" i="13"/>
  <c r="B10" i="13"/>
  <c r="B9" i="13"/>
  <c r="B7" i="13"/>
  <c r="B6" i="13"/>
  <c r="B5" i="13"/>
  <c r="B4" i="13"/>
  <c r="B3" i="13"/>
  <c r="B2" i="13"/>
  <c r="J37" i="5"/>
  <c r="B20" i="13" s="1"/>
  <c r="E25" i="13" l="1"/>
  <c r="H17" i="2" s="1"/>
  <c r="E26" i="13"/>
  <c r="H18" i="2" s="1"/>
  <c r="E28" i="13"/>
  <c r="H20" i="2" s="1"/>
  <c r="E29" i="13"/>
  <c r="H21" i="2" s="1"/>
  <c r="E30" i="13"/>
  <c r="H22" i="2" s="1"/>
  <c r="E27" i="13"/>
  <c r="H19" i="2" s="1"/>
  <c r="B25" i="13"/>
  <c r="B26" i="13"/>
  <c r="C18" i="2" s="1"/>
  <c r="F27" i="13"/>
  <c r="I19" i="2" s="1"/>
  <c r="F28" i="13"/>
  <c r="I20" i="2" s="1"/>
  <c r="F29" i="13"/>
  <c r="I21" i="2" s="1"/>
  <c r="F30" i="13"/>
  <c r="I22" i="2" s="1"/>
  <c r="F25" i="13"/>
  <c r="I17" i="2" s="1"/>
  <c r="F26" i="13"/>
  <c r="I18" i="2" s="1"/>
  <c r="B27" i="13"/>
  <c r="C19" i="2" s="1"/>
  <c r="B29" i="13"/>
  <c r="C21" i="2" s="1"/>
  <c r="B28" i="13"/>
  <c r="C20" i="2" s="1"/>
  <c r="B30" i="13"/>
  <c r="C22" i="2" s="1"/>
  <c r="C70" i="11"/>
  <c r="C54" i="11"/>
  <c r="C38" i="11"/>
  <c r="C22" i="11"/>
  <c r="C9" i="11"/>
  <c r="D3" i="10"/>
  <c r="C3" i="10"/>
  <c r="B3" i="10"/>
  <c r="D2" i="10"/>
  <c r="C2" i="10"/>
  <c r="B2" i="10"/>
  <c r="D5" i="9"/>
  <c r="C5" i="9"/>
  <c r="B5" i="9"/>
  <c r="D4" i="9"/>
  <c r="C4" i="9"/>
  <c r="B4" i="9"/>
  <c r="D3" i="9"/>
  <c r="C3" i="9"/>
  <c r="B3" i="9"/>
  <c r="D2" i="9"/>
  <c r="C2" i="9"/>
  <c r="B2" i="9"/>
  <c r="H29" i="6"/>
  <c r="C29" i="6"/>
  <c r="D6" i="2" s="1"/>
  <c r="H27" i="6"/>
  <c r="C27" i="6"/>
  <c r="D4" i="2" s="1"/>
  <c r="H25" i="6"/>
  <c r="C25" i="6"/>
  <c r="D2" i="2" s="1"/>
  <c r="B15" i="6"/>
  <c r="B14" i="6"/>
  <c r="B12" i="6"/>
  <c r="A12" i="6"/>
  <c r="B11" i="6"/>
  <c r="B10" i="6"/>
  <c r="B9" i="6"/>
  <c r="B7" i="6"/>
  <c r="B6" i="6"/>
  <c r="B5" i="6"/>
  <c r="B4" i="6"/>
  <c r="B30" i="6" s="1"/>
  <c r="B3" i="6"/>
  <c r="B2" i="6"/>
  <c r="B25" i="6" s="1"/>
  <c r="C3" i="2" s="1"/>
  <c r="C45" i="5"/>
  <c r="B45" i="5"/>
  <c r="C44" i="5"/>
  <c r="B44" i="5"/>
  <c r="C43" i="5"/>
  <c r="B43" i="5"/>
  <c r="B42" i="5"/>
  <c r="C41" i="5"/>
  <c r="B41" i="5"/>
  <c r="C40" i="5"/>
  <c r="B40" i="5"/>
  <c r="B38" i="5"/>
  <c r="B33" i="5"/>
  <c r="D33" i="5" s="1"/>
  <c r="A33" i="5"/>
  <c r="B32" i="5"/>
  <c r="D32" i="5" s="1"/>
  <c r="A32" i="5"/>
  <c r="B31" i="5"/>
  <c r="D31" i="5" s="1"/>
  <c r="A31" i="5"/>
  <c r="B30" i="5"/>
  <c r="E30" i="5" s="1"/>
  <c r="A30" i="5"/>
  <c r="B29" i="5"/>
  <c r="A29" i="5"/>
  <c r="B28" i="5"/>
  <c r="H28" i="5" s="1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8" i="5"/>
  <c r="A18" i="5"/>
  <c r="B17" i="5"/>
  <c r="A17" i="5"/>
  <c r="B16" i="5"/>
  <c r="A16" i="5"/>
  <c r="F15" i="5"/>
  <c r="B15" i="5"/>
  <c r="A15" i="5"/>
  <c r="B14" i="5"/>
  <c r="B12" i="5"/>
  <c r="A12" i="5"/>
  <c r="B11" i="5"/>
  <c r="A11" i="5"/>
  <c r="B10" i="5"/>
  <c r="A10" i="5"/>
  <c r="A9" i="5"/>
  <c r="B7" i="5"/>
  <c r="A7" i="5"/>
  <c r="B5" i="5"/>
  <c r="A5" i="5"/>
  <c r="B4" i="5"/>
  <c r="A4" i="5"/>
  <c r="B3" i="5"/>
  <c r="A3" i="5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0" i="1"/>
  <c r="C19" i="1"/>
  <c r="C18" i="1"/>
  <c r="C17" i="1"/>
  <c r="C16" i="1"/>
  <c r="C15" i="1"/>
  <c r="C14" i="1"/>
  <c r="C13" i="1"/>
  <c r="C11" i="1"/>
  <c r="C10" i="1"/>
  <c r="C9" i="1"/>
  <c r="C8" i="1"/>
  <c r="C7" i="1"/>
  <c r="C6" i="1"/>
  <c r="C5" i="1"/>
  <c r="C4" i="1"/>
  <c r="C3" i="1"/>
  <c r="C2" i="1"/>
  <c r="B8" i="5" l="1"/>
  <c r="B13" i="2"/>
  <c r="B14" i="2" s="1"/>
  <c r="B11" i="2"/>
  <c r="B12" i="2" s="1"/>
  <c r="C18" i="5"/>
  <c r="H18" i="5"/>
  <c r="F25" i="6"/>
  <c r="I2" i="2" s="1"/>
  <c r="B13" i="5"/>
  <c r="E4" i="8" s="1"/>
  <c r="E25" i="6"/>
  <c r="H2" i="2" s="1"/>
  <c r="E26" i="6"/>
  <c r="H3" i="2" s="1"/>
  <c r="E30" i="6"/>
  <c r="H7" i="2" s="1"/>
  <c r="E28" i="6"/>
  <c r="H5" i="2" s="1"/>
  <c r="E27" i="6"/>
  <c r="H4" i="2" s="1"/>
  <c r="E29" i="6"/>
  <c r="H6" i="2" s="1"/>
  <c r="H24" i="5"/>
  <c r="C24" i="5"/>
  <c r="H26" i="5"/>
  <c r="C26" i="5"/>
  <c r="H27" i="5"/>
  <c r="C27" i="5"/>
  <c r="F20" i="5"/>
  <c r="J4" i="2" s="1"/>
  <c r="H23" i="5"/>
  <c r="C23" i="5"/>
  <c r="H25" i="5"/>
  <c r="C25" i="5"/>
  <c r="C3" i="5"/>
  <c r="H3" i="5"/>
  <c r="C17" i="2"/>
  <c r="B26" i="6"/>
  <c r="D37" i="5"/>
  <c r="H4" i="5"/>
  <c r="C4" i="5"/>
  <c r="F26" i="6"/>
  <c r="I3" i="2" s="1"/>
  <c r="F27" i="6"/>
  <c r="I4" i="2" s="1"/>
  <c r="C29" i="5"/>
  <c r="H29" i="5"/>
  <c r="C2" i="6" a="1"/>
  <c r="C2" i="6" s="1"/>
  <c r="C3" i="6" a="1"/>
  <c r="C3" i="6" s="1"/>
  <c r="H14" i="5"/>
  <c r="C14" i="5"/>
  <c r="F30" i="6"/>
  <c r="I7" i="2" s="1"/>
  <c r="F28" i="6"/>
  <c r="I5" i="2" s="1"/>
  <c r="B29" i="6"/>
  <c r="C7" i="2" s="1"/>
  <c r="C6" i="6" a="1"/>
  <c r="C6" i="6" s="1"/>
  <c r="C7" i="6" a="1"/>
  <c r="C7" i="6" s="1"/>
  <c r="C2" i="2"/>
  <c r="F29" i="6"/>
  <c r="I6" i="2" s="1"/>
  <c r="C5" i="6" a="1"/>
  <c r="C5" i="6" s="1"/>
  <c r="C4" i="6" a="1"/>
  <c r="C4" i="6" s="1"/>
  <c r="B6" i="5"/>
  <c r="B27" i="6"/>
  <c r="B28" i="6"/>
  <c r="E33" i="7" l="1"/>
  <c r="E4" i="7"/>
  <c r="E3" i="8"/>
  <c r="E7" i="7"/>
  <c r="E6" i="8"/>
  <c r="E9" i="8"/>
  <c r="E12" i="7"/>
  <c r="E11" i="8"/>
  <c r="E15" i="7"/>
  <c r="E14" i="8"/>
  <c r="E17" i="8"/>
  <c r="E19" i="8"/>
  <c r="E22" i="8"/>
  <c r="E31" i="7"/>
  <c r="C26" i="14"/>
  <c r="C10" i="14"/>
  <c r="C25" i="14"/>
  <c r="G29" i="13" s="1"/>
  <c r="H29" i="13" s="1"/>
  <c r="J29" i="13" s="1"/>
  <c r="D29" i="13" s="1"/>
  <c r="C11" i="14"/>
  <c r="C24" i="14"/>
  <c r="C12" i="14"/>
  <c r="C23" i="14"/>
  <c r="C13" i="14"/>
  <c r="C22" i="14"/>
  <c r="C21" i="14"/>
  <c r="F21" i="14" s="1"/>
  <c r="M17" i="2" s="1"/>
  <c r="E2" i="7"/>
  <c r="B18" i="6" s="1"/>
  <c r="C4" i="14"/>
  <c r="C5" i="14"/>
  <c r="C6" i="14"/>
  <c r="C7" i="14"/>
  <c r="C8" i="14"/>
  <c r="C9" i="14"/>
  <c r="E27" i="8"/>
  <c r="E30" i="8"/>
  <c r="E33" i="8"/>
  <c r="E7" i="8"/>
  <c r="E10" i="7"/>
  <c r="E12" i="8"/>
  <c r="E13" i="7"/>
  <c r="E15" i="8"/>
  <c r="E16" i="7"/>
  <c r="E18" i="7"/>
  <c r="E20" i="8"/>
  <c r="E21" i="7"/>
  <c r="E23" i="8"/>
  <c r="E24" i="7"/>
  <c r="E26" i="7"/>
  <c r="E28" i="8"/>
  <c r="E29" i="7"/>
  <c r="E31" i="8"/>
  <c r="E32" i="7"/>
  <c r="B17" i="13"/>
  <c r="E25" i="8"/>
  <c r="E5" i="7"/>
  <c r="E8" i="7"/>
  <c r="E2" i="8"/>
  <c r="B19" i="6" s="1" a="1"/>
  <c r="B19" i="6" s="1"/>
  <c r="E3" i="7"/>
  <c r="E5" i="8"/>
  <c r="E6" i="7"/>
  <c r="E8" i="8"/>
  <c r="E9" i="7"/>
  <c r="E10" i="8"/>
  <c r="E11" i="7"/>
  <c r="E13" i="8"/>
  <c r="E14" i="7"/>
  <c r="E16" i="8"/>
  <c r="B17" i="6"/>
  <c r="E18" i="8"/>
  <c r="E24" i="8"/>
  <c r="C13" i="5"/>
  <c r="E20" i="7"/>
  <c r="E23" i="7"/>
  <c r="E28" i="7"/>
  <c r="E17" i="7"/>
  <c r="E19" i="7"/>
  <c r="E21" i="8"/>
  <c r="E22" i="7"/>
  <c r="E25" i="7"/>
  <c r="E26" i="8"/>
  <c r="E27" i="7"/>
  <c r="E29" i="8"/>
  <c r="E30" i="7"/>
  <c r="E32" i="8"/>
  <c r="H13" i="5"/>
  <c r="H6" i="5"/>
  <c r="D42" i="5"/>
  <c r="E8" i="5"/>
  <c r="E37" i="5" s="1"/>
  <c r="B20" i="6" s="1"/>
  <c r="C8" i="5"/>
  <c r="D44" i="5"/>
  <c r="D40" i="5"/>
  <c r="B48" i="5"/>
  <c r="G27" i="13"/>
  <c r="H27" i="13" s="1"/>
  <c r="J27" i="13" s="1"/>
  <c r="D27" i="13" s="1"/>
  <c r="G26" i="6"/>
  <c r="I26" i="6" s="1"/>
  <c r="D26" i="6" s="1"/>
  <c r="E41" i="5" s="1"/>
  <c r="C6" i="5"/>
  <c r="C6" i="2"/>
  <c r="J2" i="2"/>
  <c r="J5" i="2"/>
  <c r="J6" i="2"/>
  <c r="J7" i="2"/>
  <c r="J3" i="2"/>
  <c r="C5" i="2"/>
  <c r="C4" i="2"/>
  <c r="H37" i="5" l="1"/>
  <c r="F22" i="14"/>
  <c r="M18" i="2" s="1"/>
  <c r="G26" i="13"/>
  <c r="H26" i="13" s="1"/>
  <c r="J26" i="13" s="1"/>
  <c r="D26" i="13" s="1"/>
  <c r="F23" i="14"/>
  <c r="M19" i="2" s="1"/>
  <c r="F24" i="14"/>
  <c r="M20" i="2" s="1"/>
  <c r="G28" i="13"/>
  <c r="H28" i="13" s="1"/>
  <c r="J28" i="13" s="1"/>
  <c r="D28" i="13" s="1"/>
  <c r="G25" i="13"/>
  <c r="H25" i="13" s="1"/>
  <c r="J25" i="13" s="1"/>
  <c r="D25" i="13" s="1"/>
  <c r="E17" i="2" s="1"/>
  <c r="F25" i="14"/>
  <c r="M21" i="2" s="1"/>
  <c r="F26" i="14"/>
  <c r="M22" i="2" s="1"/>
  <c r="G30" i="13"/>
  <c r="H30" i="13" s="1"/>
  <c r="J30" i="13" s="1"/>
  <c r="D30" i="13" s="1"/>
  <c r="K14" i="14"/>
  <c r="B14" i="14"/>
  <c r="D14" i="14"/>
  <c r="G14" i="14"/>
  <c r="F14" i="14"/>
  <c r="E14" i="14"/>
  <c r="H14" i="14"/>
  <c r="I14" i="14"/>
  <c r="J14" i="14"/>
  <c r="C37" i="5"/>
  <c r="E21" i="2"/>
  <c r="J44" i="5"/>
  <c r="E19" i="2"/>
  <c r="J42" i="5"/>
  <c r="G27" i="6"/>
  <c r="I27" i="6" s="1"/>
  <c r="D27" i="6" s="1"/>
  <c r="E42" i="5" s="1"/>
  <c r="G28" i="6"/>
  <c r="I28" i="6" s="1"/>
  <c r="D28" i="6" s="1"/>
  <c r="E43" i="5" s="1"/>
  <c r="G29" i="6"/>
  <c r="I29" i="6" s="1"/>
  <c r="D29" i="6" s="1"/>
  <c r="E44" i="5" s="1"/>
  <c r="G30" i="6"/>
  <c r="I30" i="6" s="1"/>
  <c r="D30" i="6" s="1"/>
  <c r="E45" i="5" s="1"/>
  <c r="G25" i="6"/>
  <c r="I25" i="6" s="1"/>
  <c r="D25" i="6" s="1"/>
  <c r="E40" i="5" s="1"/>
  <c r="L44" i="5" l="1"/>
  <c r="G21" i="2" s="1"/>
  <c r="L42" i="5"/>
  <c r="G19" i="2" s="1"/>
  <c r="E20" i="2"/>
  <c r="J43" i="5"/>
  <c r="L43" i="5" s="1"/>
  <c r="G20" i="2" s="1"/>
  <c r="J40" i="5"/>
  <c r="L40" i="5" s="1"/>
  <c r="G17" i="2" s="1"/>
  <c r="N22" i="2"/>
  <c r="N21" i="2"/>
  <c r="N20" i="2"/>
  <c r="N19" i="2"/>
  <c r="N18" i="2"/>
  <c r="N17" i="2"/>
  <c r="J41" i="5"/>
  <c r="L41" i="5" s="1"/>
  <c r="G18" i="2" s="1"/>
  <c r="E18" i="2"/>
  <c r="J45" i="5"/>
  <c r="L45" i="5" s="1"/>
  <c r="G22" i="2" s="1"/>
  <c r="E22" i="2"/>
  <c r="G44" i="5"/>
  <c r="G6" i="2" s="1"/>
  <c r="E6" i="2" s="1"/>
  <c r="G45" i="5"/>
  <c r="G7" i="2" s="1"/>
  <c r="E7" i="2" s="1"/>
  <c r="G42" i="5"/>
  <c r="G4" i="2" s="1"/>
  <c r="E4" i="2" s="1"/>
  <c r="G43" i="5"/>
  <c r="G5" i="2" s="1"/>
  <c r="E5" i="2" s="1"/>
  <c r="G40" i="5"/>
  <c r="G2" i="2" s="1"/>
  <c r="G41" i="5"/>
  <c r="G3" i="2" s="1"/>
  <c r="E3" i="2" s="1"/>
  <c r="E2" i="2" l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1"/>
            <color rgb="FF000000"/>
            <rFont val="Calibri"/>
            <family val="2"/>
          </rPr>
          <t>Ich schätze, dass wir das nicht brauchen, habe es aber erstmal eingefügt, weil das PartnerData Modell in "common" liegt und das umzubauen wäre vermutlich auch unnötiger overhead
	-Jörg Amelunxen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<sst xmlns="http://schemas.openxmlformats.org/spreadsheetml/2006/main" count="9867" uniqueCount="4791">
  <si>
    <t>Fragebogen / Tasks</t>
  </si>
  <si>
    <t>Antwort / Wert</t>
  </si>
  <si>
    <t>Formatierte Darstellung</t>
  </si>
  <si>
    <t>Gewünschter Policen Beginn</t>
  </si>
  <si>
    <t>Gewünschtes Policen Ende</t>
  </si>
  <si>
    <t>Deckungssumme (1)</t>
  </si>
  <si>
    <t>Sublimit Kartellrecht (1)</t>
  </si>
  <si>
    <t>Deckungssumme (2)</t>
  </si>
  <si>
    <t>Sublimit Kartellrecht (2)</t>
  </si>
  <si>
    <t>Deckungssumme (3)</t>
  </si>
  <si>
    <t>Sublimit Kartellrecht (3)</t>
  </si>
  <si>
    <t>Branche (SIC-Codes)</t>
  </si>
  <si>
    <t>Rechtsform</t>
  </si>
  <si>
    <t>Anzahl Vollzeit Beschäftigte</t>
  </si>
  <si>
    <t>Anzahl Teilzeit Beschäftigte</t>
  </si>
  <si>
    <t>Anzahl geringfügig Beschäftigte</t>
  </si>
  <si>
    <t>Geltungsbereich</t>
  </si>
  <si>
    <t>Nettoisierung</t>
  </si>
  <si>
    <t>Provision Koopmakler</t>
  </si>
  <si>
    <t>Besteht oder bestand für zu versichernde Unternehmen bereits eine Rechtsschutzversicherung im Sinne dieser HPST-Ausschreibung?</t>
  </si>
  <si>
    <t>Wurde dem Vorvertrag ein Hendricks und Partner Bedingungswerk zugrunde gelegt?</t>
  </si>
  <si>
    <t>Versicherungsscheinnummer</t>
  </si>
  <si>
    <t>Deckungssumme des Vorvertrags</t>
  </si>
  <si>
    <t>Haben sich im Rahmen einer Vorversicherung bei einem anderen Versicherer für das beantragte Risiko Schadenfälle ereignet?</t>
  </si>
  <si>
    <t>Wurde der Vertrag vom Vorversicherer gekündigt oder wurden Sanierungsmaßnahmen eingeleitet oder angekündigt?</t>
  </si>
  <si>
    <t>Wurden in den letzten 2 Jahren außerhalb des Straßenverkehrs Straf- oder Ordnungswidrigkeitenverfahren gegen den Versicherungsnehmer, das Unternehmen oder einzelne Mitarbeiter durchgeführt?</t>
  </si>
  <si>
    <t>Sind solche Verfahren anhängig?</t>
  </si>
  <si>
    <t>Sind Umstände bekannt, die auf ein anstehendes Ermittlungs- oder Strafverfahren hinweisen?</t>
  </si>
  <si>
    <t>Vom Antragssteller bzw. im Konzern der Versicherungsnehmerin wird eine Tätigkeit gemäß § 1 (1) KWG oder § 1 VAG (Bank- oder Versicherungsgeschäfte oder sonstige Finanzdienstleistungen) erbracht.</t>
  </si>
  <si>
    <t>Ist eines der zu versichernden Unternehmen in einer oder mehrerer der folgenden Branchen tätig?</t>
  </si>
  <si>
    <t>Wird Gefahrgut transportiert oder gelagert?</t>
  </si>
  <si>
    <t>Sind Umstände bekannt, die auf die Einleitung von Verfahren aufgrund von Preis - und/oder Ausschreibungsabsprachen hindeuten?</t>
  </si>
  <si>
    <t>Wurden in den letzten zwei Jahren Verfahren gegen den Versicherungsnehmer, das Unternehmen (auch Tochter- und Beteiligungsunternehmen) oder einzelne Mitarbeiter aufgrund von Preis - und/oder Ausschreibungsabsprachen eingeleitet?</t>
  </si>
  <si>
    <t>Hat der Versicherungsnehmer Tochtergesellschaften in den USA, China, Indien, Südkorea, Brasilien, Südafrika, Japan, Australien oder in der Schweiz?</t>
  </si>
  <si>
    <t>Versicherer</t>
  </si>
  <si>
    <t>Deckungssumme</t>
  </si>
  <si>
    <t>Sublimit Kartell</t>
  </si>
  <si>
    <t>Prämie</t>
  </si>
  <si>
    <t>Bewertung</t>
  </si>
  <si>
    <t>Status</t>
  </si>
  <si>
    <t>Provision Hendricks</t>
  </si>
  <si>
    <t>Provision Makler</t>
  </si>
  <si>
    <t>Klauseln</t>
  </si>
  <si>
    <t>DS1 inkl. Sublimit</t>
  </si>
  <si>
    <t>ROLAND</t>
  </si>
  <si>
    <t>DS1</t>
  </si>
  <si>
    <t>DS2 inkl. Sublimit</t>
  </si>
  <si>
    <t>DS2</t>
  </si>
  <si>
    <t>DS3 inkl. Sublimit</t>
  </si>
  <si>
    <t>DS3</t>
  </si>
  <si>
    <t>TAW Code</t>
  </si>
  <si>
    <t>TAW Description</t>
  </si>
  <si>
    <t>Länder</t>
  </si>
  <si>
    <t>Status Angebot</t>
  </si>
  <si>
    <t>SIC-4-Code</t>
  </si>
  <si>
    <t>Branche</t>
  </si>
  <si>
    <t>Geltungsbereich Cosmo</t>
  </si>
  <si>
    <t>Roland Tarif</t>
  </si>
  <si>
    <t>andere</t>
  </si>
  <si>
    <t>AD</t>
  </si>
  <si>
    <t>Andorra</t>
  </si>
  <si>
    <t>OFFER_READY_FOR_POLICY</t>
  </si>
  <si>
    <t>0111</t>
  </si>
  <si>
    <t>0111 - Landwirtschaft Anbau - Weizen</t>
  </si>
  <si>
    <t>EU</t>
  </si>
  <si>
    <t>Europaweit</t>
  </si>
  <si>
    <t>LLC</t>
  </si>
  <si>
    <t>AE</t>
  </si>
  <si>
    <t>United Arab Emirates</t>
  </si>
  <si>
    <t>OFFER_DECLINED</t>
  </si>
  <si>
    <t>0112</t>
  </si>
  <si>
    <t>0112 - Landwirtschaft Anbau - Reis</t>
  </si>
  <si>
    <t>WORLD</t>
  </si>
  <si>
    <t>Weltweit</t>
  </si>
  <si>
    <t>Corp.</t>
  </si>
  <si>
    <t>AF</t>
  </si>
  <si>
    <t>Afghanistan</t>
  </si>
  <si>
    <t>OFFER_REFERRAL</t>
  </si>
  <si>
    <t>0115</t>
  </si>
  <si>
    <t>0115 - Landwirtschaft Anbau - Mais</t>
  </si>
  <si>
    <t>Inc.</t>
  </si>
  <si>
    <t>AG</t>
  </si>
  <si>
    <t>Antigua and Barbuda</t>
  </si>
  <si>
    <t>OFFER_REFERRAL_NO_PREMIUM</t>
  </si>
  <si>
    <t>0116</t>
  </si>
  <si>
    <t>0116 - Landwirtschaft Anbau - Soyabohnen</t>
  </si>
  <si>
    <t>LLP</t>
  </si>
  <si>
    <t>AI</t>
  </si>
  <si>
    <t>Anguilla</t>
  </si>
  <si>
    <t>0119</t>
  </si>
  <si>
    <t>0119 - Landwirtschaft Anbau - Sonstige Getreide</t>
  </si>
  <si>
    <t>Plc</t>
  </si>
  <si>
    <t>AL</t>
  </si>
  <si>
    <t>Albania</t>
  </si>
  <si>
    <t>0131</t>
  </si>
  <si>
    <t>0131 - Landwirtschaft Anbau - Baumwolle</t>
  </si>
  <si>
    <t>S.A.R.L.</t>
  </si>
  <si>
    <t>AM</t>
  </si>
  <si>
    <t>Armenia</t>
  </si>
  <si>
    <t>0132</t>
  </si>
  <si>
    <t>0132 - Landwirtschaft Anbau - Tabak</t>
  </si>
  <si>
    <t>SA</t>
  </si>
  <si>
    <t>AO</t>
  </si>
  <si>
    <t>Angola</t>
  </si>
  <si>
    <t>0133</t>
  </si>
  <si>
    <t>0133 - Landwirtschaft Anbau - Zuckerpflanzen (-rohr, -rüben)</t>
  </si>
  <si>
    <t>PartGmbB</t>
  </si>
  <si>
    <t>AQ</t>
  </si>
  <si>
    <t>Antarctica</t>
  </si>
  <si>
    <t>0134</t>
  </si>
  <si>
    <t>0134 - Landwirtschaft Anbau - Kartoffeln</t>
  </si>
  <si>
    <t>PartG</t>
  </si>
  <si>
    <t>AR</t>
  </si>
  <si>
    <t>Argentina</t>
  </si>
  <si>
    <t>0139</t>
  </si>
  <si>
    <t>0139 - Landwirtschaft Anbau - Sonstige Feldfrüchte, außer Getreide</t>
  </si>
  <si>
    <t>AS</t>
  </si>
  <si>
    <t>American Samoa</t>
  </si>
  <si>
    <t>0161</t>
  </si>
  <si>
    <t>0161 - Landwirtschaft Anbau - Gemüse u. Melonen</t>
  </si>
  <si>
    <t>SE</t>
  </si>
  <si>
    <t>AT</t>
  </si>
  <si>
    <t>Austria</t>
  </si>
  <si>
    <t>0171</t>
  </si>
  <si>
    <t>0171 - Landwirtschaft Anbau - Beerenfrüchte</t>
  </si>
  <si>
    <t>Behörde</t>
  </si>
  <si>
    <t>AU</t>
  </si>
  <si>
    <t>Australia</t>
  </si>
  <si>
    <t>0172</t>
  </si>
  <si>
    <t>0172 - Landwirtschaft Anbau - Weintrauben</t>
  </si>
  <si>
    <t>e.G.</t>
  </si>
  <si>
    <t>AW</t>
  </si>
  <si>
    <t>Aruba</t>
  </si>
  <si>
    <t>0173</t>
  </si>
  <si>
    <t>0173 - Landwirtschaft Anbau - Nüsse</t>
  </si>
  <si>
    <t>e.K.</t>
  </si>
  <si>
    <t>AX</t>
  </si>
  <si>
    <t>Åland Islands</t>
  </si>
  <si>
    <t>0174</t>
  </si>
  <si>
    <t>0174 - Landwirtschaft Anbau - Zitrusfrüchte</t>
  </si>
  <si>
    <t>e.V.</t>
  </si>
  <si>
    <t>AZ</t>
  </si>
  <si>
    <t>Azerbaijan</t>
  </si>
  <si>
    <t>0175</t>
  </si>
  <si>
    <t>0175 - Landwirtschaft Anbau - Jährliche Baumfrüchte</t>
  </si>
  <si>
    <t>GbR</t>
  </si>
  <si>
    <t>BA</t>
  </si>
  <si>
    <t>Bosnia and Herzegovina</t>
  </si>
  <si>
    <t>0179</t>
  </si>
  <si>
    <t>0179 - Landwirtschaft Anbau - Sonstiges Obst und Nüsse</t>
  </si>
  <si>
    <t>GmbH</t>
  </si>
  <si>
    <t>BB</t>
  </si>
  <si>
    <t>Barbados</t>
  </si>
  <si>
    <t>0181</t>
  </si>
  <si>
    <t>0181 - Landwirtschaft Anbau - Gartengestaltung und Baumschulenerzeugnisse</t>
  </si>
  <si>
    <t>gGmbH</t>
  </si>
  <si>
    <t>BD</t>
  </si>
  <si>
    <t>Bangladesh</t>
  </si>
  <si>
    <t>0182</t>
  </si>
  <si>
    <t>0182 - Landwirtschaft Anbau - Feldfrüchte aus Treibhaus und Mistbeet</t>
  </si>
  <si>
    <t>GmbH &amp; Co.KG</t>
  </si>
  <si>
    <t>BE</t>
  </si>
  <si>
    <t>Belgium</t>
  </si>
  <si>
    <t>0191</t>
  </si>
  <si>
    <t>0191 - Landwirtschaft Anbau - Allgem. Landwirtschaft, Anbau</t>
  </si>
  <si>
    <t>Kammer</t>
  </si>
  <si>
    <t>BF</t>
  </si>
  <si>
    <t>Burkina Faso</t>
  </si>
  <si>
    <t>0192</t>
  </si>
  <si>
    <t>0192 - Landwirtschaft Anbau - Gartenbauspezialitäten</t>
  </si>
  <si>
    <t>KG</t>
  </si>
  <si>
    <t>BG</t>
  </si>
  <si>
    <t>Bulgaria</t>
  </si>
  <si>
    <t>0211</t>
  </si>
  <si>
    <t>0211 - Landwirtschaft Viehzucht - Rindvieh und Weidewirtschaft</t>
  </si>
  <si>
    <t>BH</t>
  </si>
  <si>
    <t>Bahrain</t>
  </si>
  <si>
    <t>0212</t>
  </si>
  <si>
    <t>0212 - Landwirtschaft Viehzucht - Rindvieh, ohne Weiden</t>
  </si>
  <si>
    <t>Ltd.</t>
  </si>
  <si>
    <t>BI</t>
  </si>
  <si>
    <t>Burundi</t>
  </si>
  <si>
    <t>0213</t>
  </si>
  <si>
    <t>0213 - Landwirtschaft Viehzucht - Schweinezucht</t>
  </si>
  <si>
    <t>OHG</t>
  </si>
  <si>
    <t>BJ</t>
  </si>
  <si>
    <t>Benin</t>
  </si>
  <si>
    <t>0214</t>
  </si>
  <si>
    <t>0214 - Landwirtschaft Viehzucht - Schaf- und Ziegenzucht</t>
  </si>
  <si>
    <t>Praxisgemeinschaft</t>
  </si>
  <si>
    <t>BL</t>
  </si>
  <si>
    <t>Saint Barthélemy</t>
  </si>
  <si>
    <t>0219</t>
  </si>
  <si>
    <t>0219 - Landwirtschaft Viehzucht - Viehzucht allgemein, außer Geflügel, Milchwirtschaft</t>
  </si>
  <si>
    <t>Gemeinschaftspraxis</t>
  </si>
  <si>
    <t>BM</t>
  </si>
  <si>
    <t>Bermuda</t>
  </si>
  <si>
    <t>0241</t>
  </si>
  <si>
    <t>0241 - Landwirtschaft Viehzucht - Milchwirtschaft</t>
  </si>
  <si>
    <t>UG</t>
  </si>
  <si>
    <t>BN</t>
  </si>
  <si>
    <t>Brunei Darussalam</t>
  </si>
  <si>
    <t>0251</t>
  </si>
  <si>
    <t>0251 - Landwirtschaft Viehzucht - Brat-, Grill- und Masthähnchen</t>
  </si>
  <si>
    <t>Verband</t>
  </si>
  <si>
    <t>BO</t>
  </si>
  <si>
    <t>Bolivia, Plurinational State of</t>
  </si>
  <si>
    <t>0252</t>
  </si>
  <si>
    <t>0252 - Landwirtschaft Viehzucht - Hühnereier</t>
  </si>
  <si>
    <t>WEG</t>
  </si>
  <si>
    <t>BQ</t>
  </si>
  <si>
    <t>Bonaire, Sint Eustatius and Saba</t>
  </si>
  <si>
    <t>0253</t>
  </si>
  <si>
    <t>0253 - Landwirtschaft Viehzucht - Puten und Puteneier</t>
  </si>
  <si>
    <t>Anstalt döR</t>
  </si>
  <si>
    <t>BR</t>
  </si>
  <si>
    <t>Brazil</t>
  </si>
  <si>
    <t>0254</t>
  </si>
  <si>
    <t>0254 - Landwirtschaft Viehzucht - Geflügelzucht und Brüterei</t>
  </si>
  <si>
    <t>Körpersch döR</t>
  </si>
  <si>
    <t>BS</t>
  </si>
  <si>
    <t>Bahamas</t>
  </si>
  <si>
    <t>0259</t>
  </si>
  <si>
    <t>0259 - Landwirtschaft Viehzucht - Sonstige Geflügel und Eier</t>
  </si>
  <si>
    <t>Stiftung döR</t>
  </si>
  <si>
    <t>BT</t>
  </si>
  <si>
    <t>Bhutan</t>
  </si>
  <si>
    <t>0271</t>
  </si>
  <si>
    <t>0271 - Landwirtschaft Viehzucht - Pelztiere und Kaninchen</t>
  </si>
  <si>
    <t>Partnergesellschaft</t>
  </si>
  <si>
    <t>BV</t>
  </si>
  <si>
    <t>Bouvet Island</t>
  </si>
  <si>
    <t>0272</t>
  </si>
  <si>
    <t>0272 - Landwirtschaft Viehzucht - Pferde u. verwandte Tiere</t>
  </si>
  <si>
    <t>Versicherungsverein aG</t>
  </si>
  <si>
    <t>BW</t>
  </si>
  <si>
    <t>Botswana</t>
  </si>
  <si>
    <t>0273</t>
  </si>
  <si>
    <t>0273 - Landwirtschaft Viehzucht - Wassertierzucht</t>
  </si>
  <si>
    <t>Stiftung dbR</t>
  </si>
  <si>
    <t>BY</t>
  </si>
  <si>
    <t>Belarus</t>
  </si>
  <si>
    <t>0279</t>
  </si>
  <si>
    <t>0279 - Landwirtschaft Viehzucht - Tierzüchtereien für besondere Tierarten</t>
  </si>
  <si>
    <t>r.V.</t>
  </si>
  <si>
    <t>BZ</t>
  </si>
  <si>
    <t>Belize</t>
  </si>
  <si>
    <t>0291</t>
  </si>
  <si>
    <t>0291 - Landwirtschaft Viehzucht - Allgemeine Landwirtschaft, hauptsächl. Viehzucht</t>
  </si>
  <si>
    <t>Stiftung des Privatrechts</t>
  </si>
  <si>
    <t>CA</t>
  </si>
  <si>
    <t>Canada</t>
  </si>
  <si>
    <t>0711</t>
  </si>
  <si>
    <t>0711 - Landwirtschaftl. Dienstleistungen - Bodenvorbereitungsdienste</t>
  </si>
  <si>
    <t>CC</t>
  </si>
  <si>
    <t>Cocos (Keeling) Islands</t>
  </si>
  <si>
    <t>0721</t>
  </si>
  <si>
    <t>0721 - Landwirtschaftl. Dienstleistungen - Anbau, Kultur u. Pflanzenschutz</t>
  </si>
  <si>
    <t>CD</t>
  </si>
  <si>
    <t>Congo, the Democratic Republic of the</t>
  </si>
  <si>
    <t>0722</t>
  </si>
  <si>
    <t>0722 - Landwirtschaftl. Dienstleistungen - Ernte, hauptsächl. maschinell</t>
  </si>
  <si>
    <t>CF</t>
  </si>
  <si>
    <t>Central African Republic</t>
  </si>
  <si>
    <t>0723</t>
  </si>
  <si>
    <t>0723 - Landwirtschaftl. Dienstleistungen - Feldfruchtpräparation z. Verkauf, außer Baumwollentkörnung</t>
  </si>
  <si>
    <t>CG</t>
  </si>
  <si>
    <t>Congo</t>
  </si>
  <si>
    <t>0724</t>
  </si>
  <si>
    <t>0724 - Landwirtschaftl. Dienstleistungen - Baumwollentkörnung</t>
  </si>
  <si>
    <t>CH</t>
  </si>
  <si>
    <t>Switzerland</t>
  </si>
  <si>
    <t>0741</t>
  </si>
  <si>
    <t>0741 - Landwirtschaftl. Dienstleistungen - Veterinärdienst f. lebend. Vieh, einschl. Tierpraxen u. -krankenhäuser</t>
  </si>
  <si>
    <t>CI</t>
  </si>
  <si>
    <t>Côte d'Ivoire</t>
  </si>
  <si>
    <t>0742</t>
  </si>
  <si>
    <t>0742 - Landwirtschaftl. Dienstleistungen - Veterinärdienst f. Spezial- u. Haustiere</t>
  </si>
  <si>
    <t>CK</t>
  </si>
  <si>
    <t>Cook Islands</t>
  </si>
  <si>
    <t>0751</t>
  </si>
  <si>
    <t>0751 - Landwirtschaftl. Dienstleistungen - Viehzucht, Medizin, Betreuung, Qualitätsprüfung</t>
  </si>
  <si>
    <t>CL</t>
  </si>
  <si>
    <t>Chile</t>
  </si>
  <si>
    <t>0761</t>
  </si>
  <si>
    <t>0761 - Landwirtschaftl. Dienstleistungen - Arbeitstrupps u. Mannschaftsführer für die Landwirtschaft</t>
  </si>
  <si>
    <t>CM</t>
  </si>
  <si>
    <t>Cameroon</t>
  </si>
  <si>
    <t>0762</t>
  </si>
  <si>
    <t>0762 - Landwirtschaftl. Dienstleistungen - Verwaltung, Landwirtschaftl. Betrieb, Landwirtschaftl. Organisationsdienst</t>
  </si>
  <si>
    <t>CN</t>
  </si>
  <si>
    <t>China</t>
  </si>
  <si>
    <t>0781</t>
  </si>
  <si>
    <t>0781 - Landwirtschaftl. Dienstleistungen - Landschaftsarchitektur, -beratung u. -planung</t>
  </si>
  <si>
    <t>CO</t>
  </si>
  <si>
    <t>Colombia</t>
  </si>
  <si>
    <t>0782</t>
  </si>
  <si>
    <t>0782 - Landwirtschaftl. Dienstleistungen - Rasen- u. Gartenpflege</t>
  </si>
  <si>
    <t>CR</t>
  </si>
  <si>
    <t>Costa Rica</t>
  </si>
  <si>
    <t>0783</t>
  </si>
  <si>
    <t>0783 - Landwirtschaftl. Dienstleistungen - Zierbäume u. Sträucher</t>
  </si>
  <si>
    <t>CU</t>
  </si>
  <si>
    <t>Cuba</t>
  </si>
  <si>
    <t>0811</t>
  </si>
  <si>
    <t>0811 - Landwirtschaftl. Dienstleistungen - Nutzholzanbau</t>
  </si>
  <si>
    <t>CV</t>
  </si>
  <si>
    <t>Cabo Verde</t>
  </si>
  <si>
    <t>0831</t>
  </si>
  <si>
    <t>0831 - Forstwirtschaft - Baumschulen und Forstprodukte</t>
  </si>
  <si>
    <t>CW</t>
  </si>
  <si>
    <t>Curaçao</t>
  </si>
  <si>
    <t>0851</t>
  </si>
  <si>
    <t>0851 - Forstwirtschaft - Forstwirtschaftl. Dienste</t>
  </si>
  <si>
    <t>CX</t>
  </si>
  <si>
    <t>Christmas Island</t>
  </si>
  <si>
    <t>0912</t>
  </si>
  <si>
    <t>0912 - Fischerei, Jagd u. Fallenstellen - Fische (Fischfang)</t>
  </si>
  <si>
    <t>CY</t>
  </si>
  <si>
    <t>Cyprus</t>
  </si>
  <si>
    <t>0913</t>
  </si>
  <si>
    <t>0913 - Fischerei, Jagd u. Fallenstellen - Schalentiere (Krabben, Hummer, Shrimps, Austern)</t>
  </si>
  <si>
    <t>CZ</t>
  </si>
  <si>
    <t>Czechia</t>
  </si>
  <si>
    <t>0919</t>
  </si>
  <si>
    <t>0919 - Fischerei, Jagd u. Fallenstellen - Versch. Meeresprodukte (Perlen, Schildkröten, Wale)</t>
  </si>
  <si>
    <t>DE</t>
  </si>
  <si>
    <t>Germany</t>
  </si>
  <si>
    <t>0921</t>
  </si>
  <si>
    <t>0921 - Fischerei, Jagd u. Fallenstellen - Fischzucht u. -Konserven</t>
  </si>
  <si>
    <t>DJ</t>
  </si>
  <si>
    <t>Djibouti</t>
  </si>
  <si>
    <t>0971</t>
  </si>
  <si>
    <t>0971 - Fischerei, Jagd u. Fallenstellen - Jagd u. Fallenstellerei, Wildschutz</t>
  </si>
  <si>
    <t>DK</t>
  </si>
  <si>
    <t>Denmark</t>
  </si>
  <si>
    <t>1011</t>
  </si>
  <si>
    <t>1011 - Metallbergbau - Eisenerze</t>
  </si>
  <si>
    <t>DM</t>
  </si>
  <si>
    <t>Dominica</t>
  </si>
  <si>
    <t>1021</t>
  </si>
  <si>
    <t>1021 - Metallbergbau - Kupfererze</t>
  </si>
  <si>
    <t>DO</t>
  </si>
  <si>
    <t>Dominican Republic</t>
  </si>
  <si>
    <t>1031</t>
  </si>
  <si>
    <t>1031 - Metallbergbau - Blei u. Zinkerze</t>
  </si>
  <si>
    <t>DZ</t>
  </si>
  <si>
    <t>Algeria</t>
  </si>
  <si>
    <t>1041</t>
  </si>
  <si>
    <t>1041 - Metallbergbau - Gold aus Erzadern</t>
  </si>
  <si>
    <t>EC</t>
  </si>
  <si>
    <t>Ecuador</t>
  </si>
  <si>
    <t>1044</t>
  </si>
  <si>
    <t>1044 - Metallbergbau - Silbererze</t>
  </si>
  <si>
    <t>EE</t>
  </si>
  <si>
    <t>Estonia</t>
  </si>
  <si>
    <t>1061</t>
  </si>
  <si>
    <t>1061 - Metallbergbau - Erze für Ferrolegierungen, außer Vanadium</t>
  </si>
  <si>
    <t>EG</t>
  </si>
  <si>
    <t>Egypt</t>
  </si>
  <si>
    <t>1081</t>
  </si>
  <si>
    <t>1081 - Metallbergbau - Nebendienste f. Erzbergbau, Bergbau f. fremde Rechnung</t>
  </si>
  <si>
    <t>EH</t>
  </si>
  <si>
    <t>Western Sahara</t>
  </si>
  <si>
    <t>1094</t>
  </si>
  <si>
    <t>1094 - Metallbergbau - Uran-, Radium-, Vanadiumerze</t>
  </si>
  <si>
    <t>ER</t>
  </si>
  <si>
    <t>Eritrea</t>
  </si>
  <si>
    <t>1099</t>
  </si>
  <si>
    <t>1099 - Metallbergbau - Andere Metallerze</t>
  </si>
  <si>
    <t>ES</t>
  </si>
  <si>
    <t>Spain</t>
  </si>
  <si>
    <t>1221</t>
  </si>
  <si>
    <t>1221 - Kohlebergbau - Stein- und Braunkohle-Tagebau</t>
  </si>
  <si>
    <t>ET</t>
  </si>
  <si>
    <t>Ethiopia</t>
  </si>
  <si>
    <t>1222</t>
  </si>
  <si>
    <t>1222 - Kohlebergbau - Steinkohle-Untertagebau</t>
  </si>
  <si>
    <t>FI</t>
  </si>
  <si>
    <t>Finland</t>
  </si>
  <si>
    <t>1231</t>
  </si>
  <si>
    <t>1231 - Kohlebergbau - Anthrazitbergbau</t>
  </si>
  <si>
    <t>FJ</t>
  </si>
  <si>
    <t>Fiji</t>
  </si>
  <si>
    <t>1241</t>
  </si>
  <si>
    <t>1241 - Kohlebergbau - Kohlebergbaudienste</t>
  </si>
  <si>
    <t>FK</t>
  </si>
  <si>
    <t>Falkland Islands (Malvinas)</t>
  </si>
  <si>
    <t>1311</t>
  </si>
  <si>
    <t>1311 - Öl- u. Gasgewinnung - Rohöl u. Erdgas</t>
  </si>
  <si>
    <t>FM</t>
  </si>
  <si>
    <t>Micronesia, Federated States of</t>
  </si>
  <si>
    <t>1321</t>
  </si>
  <si>
    <t>1321 - Öl- u. Gasgewinnung - Flüssiges Erdgas</t>
  </si>
  <si>
    <t>FO</t>
  </si>
  <si>
    <t>Faroe Islands</t>
  </si>
  <si>
    <t>1381</t>
  </si>
  <si>
    <t>1381 - Öl- u. Gasgewinnung - Öl-u. Gasbohrarbeiten</t>
  </si>
  <si>
    <t>FR</t>
  </si>
  <si>
    <t>France</t>
  </si>
  <si>
    <t>1382</t>
  </si>
  <si>
    <t>1382 - Öl- u. Gasgewinnung - Exploration von Öl-u. Gasvorkommen</t>
  </si>
  <si>
    <t>GA</t>
  </si>
  <si>
    <t>Gabon</t>
  </si>
  <si>
    <t>1389</t>
  </si>
  <si>
    <t>1389 - Öl- u. Gasgewinnung - Sonstige Öl-u. Erdgasfeld-Arbeiten</t>
  </si>
  <si>
    <t>GB</t>
  </si>
  <si>
    <t>United Kingdom of Great Britain and Northern Ireland</t>
  </si>
  <si>
    <t>1411</t>
  </si>
  <si>
    <t>1411 - Gewinnung von Steinen und Erden, außer Brennstoffen - Steingewinnung</t>
  </si>
  <si>
    <t>GD</t>
  </si>
  <si>
    <t>Grenada</t>
  </si>
  <si>
    <t>1422</t>
  </si>
  <si>
    <t>1422 - Gewinnung von Steinen und Erden, außer Brennstoffen - Zerkleinerter u. gebrochener Kalkstein</t>
  </si>
  <si>
    <t>GE</t>
  </si>
  <si>
    <t>Georgia</t>
  </si>
  <si>
    <t>1423</t>
  </si>
  <si>
    <t>1423 - Gewinnung von Steinen und Erden, außer Brennstoffen - Zerkleinerter u. gebrochener Granit</t>
  </si>
  <si>
    <t>GF</t>
  </si>
  <si>
    <t>French Guiana</t>
  </si>
  <si>
    <t>1429</t>
  </si>
  <si>
    <t>1429 - Gewinnung von Steinen und Erden, außer Brennstoffen - Sonstiges zerkleinertes u. gebrochenes Gestein</t>
  </si>
  <si>
    <t>GG</t>
  </si>
  <si>
    <t>Guernsey</t>
  </si>
  <si>
    <t>1442</t>
  </si>
  <si>
    <t>1442 - Gewinnung von Steinen und Erden, außer Brennstoffen - Bausand u. Kies</t>
  </si>
  <si>
    <t>GH</t>
  </si>
  <si>
    <t>Ghana</t>
  </si>
  <si>
    <t>1446</t>
  </si>
  <si>
    <t>1446 - Gewinnung von Steinen und Erden, außer Brennstoffen - Industriesand</t>
  </si>
  <si>
    <t>GI</t>
  </si>
  <si>
    <t>Gibraltar</t>
  </si>
  <si>
    <t>1455</t>
  </si>
  <si>
    <t>1455 - Gewinnung von Steinen und Erden, außer Brennstoffen - Kaolin u. Bindeton</t>
  </si>
  <si>
    <t>GL</t>
  </si>
  <si>
    <t>Greenland</t>
  </si>
  <si>
    <t>1459</t>
  </si>
  <si>
    <t>1459 - Gewinnung von Steinen und Erden, außer Brennstoffen - Sonstige Tonerde, Keramik u. feuerfeste Mineralien</t>
  </si>
  <si>
    <t>GM</t>
  </si>
  <si>
    <t>Gambia</t>
  </si>
  <si>
    <t>1474</t>
  </si>
  <si>
    <t>1474 - Gewinnung von Steinen und Erden, außer Brennstoffen - Pottasche, Borate, Soda</t>
  </si>
  <si>
    <t>GN</t>
  </si>
  <si>
    <t>Guinea</t>
  </si>
  <si>
    <t>1475</t>
  </si>
  <si>
    <t>1475 - Gewinnung von Steinen und Erden, außer Brennstoffen - Phosphatgestein</t>
  </si>
  <si>
    <t>GP</t>
  </si>
  <si>
    <t>Guadeloupe</t>
  </si>
  <si>
    <t>1479</t>
  </si>
  <si>
    <t>1479 - Gewinnung von Steinen und Erden, außer Brennstoffen - Abbau v. sonstigen Mineralien für die Chemie und für Düngemittel</t>
  </si>
  <si>
    <t>GQ</t>
  </si>
  <si>
    <t>Equatorial Guinea</t>
  </si>
  <si>
    <t>1481</t>
  </si>
  <si>
    <t>1481 - Gewinnung von Steinen und Erden, außer Brennstoffen - Nichtmetallbergbaudienste (außer Brennstoffe)</t>
  </si>
  <si>
    <t>GR</t>
  </si>
  <si>
    <t>Greece</t>
  </si>
  <si>
    <t>1499</t>
  </si>
  <si>
    <t>1499 - Gewinnung von Steinen und Erden, außer Brennstoffen - verschied. Steine u. Erden (außer Brennstoffe)</t>
  </si>
  <si>
    <t>GS</t>
  </si>
  <si>
    <t>South Georgia and the South Sandwich Islands</t>
  </si>
  <si>
    <t>1521</t>
  </si>
  <si>
    <t>1521 - Bauunternehmen - Allgem. Bauunternehmen - Einfamilienhäuser</t>
  </si>
  <si>
    <t>GT</t>
  </si>
  <si>
    <t>Guatemala</t>
  </si>
  <si>
    <t>1522</t>
  </si>
  <si>
    <t>1522 - Bauunternehmen - Allgem. Bauunternehmen - Wohnbauten, außer Einfamilienhäuser</t>
  </si>
  <si>
    <t>GU</t>
  </si>
  <si>
    <t>Guam</t>
  </si>
  <si>
    <t>1531</t>
  </si>
  <si>
    <t>1531 - Bauunternehmen - Bauträgergesellschaft f. eigene Rechnung zum späteren Verkauf von Objekten</t>
  </si>
  <si>
    <t>GW</t>
  </si>
  <si>
    <t>Guinea-Bissau</t>
  </si>
  <si>
    <t>1541</t>
  </si>
  <si>
    <t>1541 - Bauunternehmen - Allgem. Bauunternehmen - Industrie- u. Lagergebäude</t>
  </si>
  <si>
    <t>GY</t>
  </si>
  <si>
    <t>Guyana</t>
  </si>
  <si>
    <t>1542</t>
  </si>
  <si>
    <t>1542 - Bauunternehmen - Allgem. Bauunternehmen - keine Wohnhäuser, Industrie- u. Lagergebäude</t>
  </si>
  <si>
    <t>HK</t>
  </si>
  <si>
    <t>Hong Kong</t>
  </si>
  <si>
    <t>1611</t>
  </si>
  <si>
    <t>1611 - Hoch- und Tiefbau (außer Wohnungsbau) - Autobahn- u. Straßenbau, außer Straßenhochbauten</t>
  </si>
  <si>
    <t>HM</t>
  </si>
  <si>
    <t>Heard Island and McDonald Islands</t>
  </si>
  <si>
    <t>1622</t>
  </si>
  <si>
    <t>1622 - Hoch- und Tiefbau (außer Wohnungsbau) - Brücken-, Tunnel- u. Straßenhochbau</t>
  </si>
  <si>
    <t>HN</t>
  </si>
  <si>
    <t>Honduras</t>
  </si>
  <si>
    <t>1623</t>
  </si>
  <si>
    <t>1623 - Hoch- und Tiefbau (außer Wohnungsbau) - Wasserbau, Abwasseranlagen, Leitungsbau, Fernmelde- u. Überlandleitungen</t>
  </si>
  <si>
    <t>HR</t>
  </si>
  <si>
    <t>Croatia</t>
  </si>
  <si>
    <t>1629</t>
  </si>
  <si>
    <t>1629 - Hoch- und Tiefbau (außer Wohnungsbau) - Sonstige Schwerkonstruktionen</t>
  </si>
  <si>
    <t>HT</t>
  </si>
  <si>
    <t>Haiti</t>
  </si>
  <si>
    <t>1711</t>
  </si>
  <si>
    <t>1711 - Dienstleistungen der Bauwirtschaft - Installation u. Heizungsbau, Klimaanlagen</t>
  </si>
  <si>
    <t>HU</t>
  </si>
  <si>
    <t>Hungary</t>
  </si>
  <si>
    <t>1721</t>
  </si>
  <si>
    <t>1721 - Dienstleistungen der Bauwirtschaft - Maler-, Tapezier- u. Dekorationsarbeiten</t>
  </si>
  <si>
    <t>ID</t>
  </si>
  <si>
    <t>Indonesia</t>
  </si>
  <si>
    <t>1731</t>
  </si>
  <si>
    <t>1731 - Dienstleistungen der Bauwirtschaft - Elektroarbeiten</t>
  </si>
  <si>
    <t>IE</t>
  </si>
  <si>
    <t>Ireland</t>
  </si>
  <si>
    <t>1741</t>
  </si>
  <si>
    <t>1741 - Dienstleistungen der Bauwirtschaft - Maurer- u. Steinmetzarbeiten</t>
  </si>
  <si>
    <t>IL</t>
  </si>
  <si>
    <t>Israel</t>
  </si>
  <si>
    <t>1742</t>
  </si>
  <si>
    <t>1742 - Dienstleistungen der Bauwirtschaft - Stuckarbeiten, akustische u. andere Isolierarbeiten</t>
  </si>
  <si>
    <t>IM</t>
  </si>
  <si>
    <t>Isle of Man</t>
  </si>
  <si>
    <t>1743</t>
  </si>
  <si>
    <t>1743 - Dienstleistungen der Bauwirtschaft - Terrazzo, Fliesenlegerei, Marmor- u. Mosaikarbeiten</t>
  </si>
  <si>
    <t>IN</t>
  </si>
  <si>
    <t>India</t>
  </si>
  <si>
    <t>1751</t>
  </si>
  <si>
    <t>1751 - Dienstleistungen der Bauwirtschaft - Zimmereibetriebe</t>
  </si>
  <si>
    <t>IO</t>
  </si>
  <si>
    <t>British Indian Ocean Territory</t>
  </si>
  <si>
    <t>1752</t>
  </si>
  <si>
    <t>1752 - Dienstleistungen der Bauwirtschaft - Fußbodenverlegung u. andere Fußbodenarbeiten</t>
  </si>
  <si>
    <t>IQ</t>
  </si>
  <si>
    <t>Iraq</t>
  </si>
  <si>
    <t>1761</t>
  </si>
  <si>
    <t>1761 - Dienstleistungen der Bauwirtschaft - Dachdeckereien u. Blecharbeiten</t>
  </si>
  <si>
    <t>IR</t>
  </si>
  <si>
    <t>Iran, Islamic Republic of</t>
  </si>
  <si>
    <t>1771</t>
  </si>
  <si>
    <t>1771 - Dienstleistungen der Bauwirtschaft - Betonarbeiten</t>
  </si>
  <si>
    <t>IS</t>
  </si>
  <si>
    <t>Iceland</t>
  </si>
  <si>
    <t>1781</t>
  </si>
  <si>
    <t>1781 - Dienstleistungen der Bauwirtschaft - Wasserbohrungen</t>
  </si>
  <si>
    <t>IT</t>
  </si>
  <si>
    <t>Italy</t>
  </si>
  <si>
    <t>1791</t>
  </si>
  <si>
    <t>1791 - Dienstleistungen der Bauwirtschaft - Stahlkonstruktionen</t>
  </si>
  <si>
    <t>JE</t>
  </si>
  <si>
    <t>Jersey</t>
  </si>
  <si>
    <t>1793</t>
  </si>
  <si>
    <t>1793 - Dienstleistungen der Bauwirtschaft - Glas- u. Verglasungsarbeiten</t>
  </si>
  <si>
    <t>JM</t>
  </si>
  <si>
    <t>Jamaica</t>
  </si>
  <si>
    <t>1794</t>
  </si>
  <si>
    <t>1794 - Dienstleistungen der Bauwirtschaft - Ausschachtungsarbeiten</t>
  </si>
  <si>
    <t>JO</t>
  </si>
  <si>
    <t>Jordan</t>
  </si>
  <si>
    <t>1795</t>
  </si>
  <si>
    <t>1795 - Dienstleistungen der Bauwirtschaft - Abwrack- u. Abbrucharbeiten</t>
  </si>
  <si>
    <t>JP</t>
  </si>
  <si>
    <t>Japan</t>
  </si>
  <si>
    <t>1796</t>
  </si>
  <si>
    <t>1796 - Dienstleistungen der Bauwirtschaft - Installation oder Aufbau von Baugeräten</t>
  </si>
  <si>
    <t>KE</t>
  </si>
  <si>
    <t>Kenya</t>
  </si>
  <si>
    <t>1799</t>
  </si>
  <si>
    <t>1799 - Dienstleistungen der Bauwirtschaft - Sonstige baugewerbliche Spezialarbeiten</t>
  </si>
  <si>
    <t>Kyrgyzstan</t>
  </si>
  <si>
    <t>2011</t>
  </si>
  <si>
    <t>2011 - Lebensmittel- und verwandte Produkte - Fleischverpackungsanlagen</t>
  </si>
  <si>
    <t>KH</t>
  </si>
  <si>
    <t>Cambodia</t>
  </si>
  <si>
    <t>2013</t>
  </si>
  <si>
    <t>2013 - Lebensmittel- und verwandte Produkte - Wurst u. andere Fleischprodukte</t>
  </si>
  <si>
    <t>KI</t>
  </si>
  <si>
    <t>Kiribati</t>
  </si>
  <si>
    <t>2015</t>
  </si>
  <si>
    <t>2015 - Lebensmittel- und verwandte Produkte - Geflügelverarbeitung</t>
  </si>
  <si>
    <t>KM</t>
  </si>
  <si>
    <t>Comoros</t>
  </si>
  <si>
    <t>2021</t>
  </si>
  <si>
    <t>2021 - Lebensmittel- und verwandte Produkte - Molkereibutter</t>
  </si>
  <si>
    <t>KN</t>
  </si>
  <si>
    <t>Saint Kitts and Nevis</t>
  </si>
  <si>
    <t>2022</t>
  </si>
  <si>
    <t>2022 - Lebensmittel- und verwandte Produkte - Käse, naturbelassen u. bearbeitet</t>
  </si>
  <si>
    <t>KP</t>
  </si>
  <si>
    <t>Korea, Democratic People's Republic of</t>
  </si>
  <si>
    <t>2023</t>
  </si>
  <si>
    <t>2023 - Lebensmittel- und verwandte Produkte - Evaporierte u. Kondensmilch</t>
  </si>
  <si>
    <t>KR</t>
  </si>
  <si>
    <t>Korea, Republic of</t>
  </si>
  <si>
    <t>2024</t>
  </si>
  <si>
    <t>2024 - Lebensmittel- und verwandte Produkte - Eiscreme u. Eisdesserts</t>
  </si>
  <si>
    <t>KW</t>
  </si>
  <si>
    <t>Kuwait</t>
  </si>
  <si>
    <t>2026</t>
  </si>
  <si>
    <t>2026 - Lebensmittel- und verwandte Produkte - Milch (außer Trockenmilch)</t>
  </si>
  <si>
    <t>KY</t>
  </si>
  <si>
    <t>Cayman Islands</t>
  </si>
  <si>
    <t>2032</t>
  </si>
  <si>
    <t>2032 - Lebensmittel- und verwandte Produkte - Konservenspezialitäten</t>
  </si>
  <si>
    <t>KZ</t>
  </si>
  <si>
    <t>Kazakhstan</t>
  </si>
  <si>
    <t>2033</t>
  </si>
  <si>
    <t>2033 - Lebensmittel- und verwandte Produkte - Obst- u. Gemüsekonserven, Marmeladen, Gelees</t>
  </si>
  <si>
    <t>LA</t>
  </si>
  <si>
    <t>Lao People's Democratic Republic</t>
  </si>
  <si>
    <t>2034</t>
  </si>
  <si>
    <t>2034 - Lebensmittel- und verwandte Produkte - Trockengemüse u. -früchte, Trockensuppen</t>
  </si>
  <si>
    <t>LB</t>
  </si>
  <si>
    <t>Lebanon</t>
  </si>
  <si>
    <t>2035</t>
  </si>
  <si>
    <t>2035 - Lebensmittel- und verwandte Produkte - Essigfrüchte u. -gemüse, Gemüsesaucen, Gewürze, Salatsaucen</t>
  </si>
  <si>
    <t>LC</t>
  </si>
  <si>
    <t>Saint Lucia</t>
  </si>
  <si>
    <t>2037</t>
  </si>
  <si>
    <t>2037 - Lebensmittel- und verwandte Produkte - Tiefgefrorenes Obst u. Gemüse, Fruchtsäfte</t>
  </si>
  <si>
    <t>LI</t>
  </si>
  <si>
    <t>Liechtenstein</t>
  </si>
  <si>
    <t>2038</t>
  </si>
  <si>
    <t>2038 - Lebensmittel- und verwandte Produkte - Sonstige Tiefkühlspezialitäten</t>
  </si>
  <si>
    <t>LK</t>
  </si>
  <si>
    <t>Sri Lanka</t>
  </si>
  <si>
    <t>2041</t>
  </si>
  <si>
    <t>2041 - Lebensmittel- und verwandte Produkte - Mehl- u. andere Mühlenprodukte</t>
  </si>
  <si>
    <t>LR</t>
  </si>
  <si>
    <t>Liberia</t>
  </si>
  <si>
    <t>2043</t>
  </si>
  <si>
    <t>2043 - Lebensmittel- und verwandte Produkte - Getreideflocken</t>
  </si>
  <si>
    <t>LS</t>
  </si>
  <si>
    <t>Lesotho</t>
  </si>
  <si>
    <t>2044</t>
  </si>
  <si>
    <t>2044 - Lebensmittel- und verwandte Produkte - Reisprodukte</t>
  </si>
  <si>
    <t>LT</t>
  </si>
  <si>
    <t>Lithuania</t>
  </si>
  <si>
    <t>2045</t>
  </si>
  <si>
    <t>2045 - Lebensmittel- und verwandte Produkte - Backmischungen und Teige</t>
  </si>
  <si>
    <t>LU</t>
  </si>
  <si>
    <t>Luxembourg</t>
  </si>
  <si>
    <t>2046</t>
  </si>
  <si>
    <t>2046 - Lebensmittel- und verwandte Produkte - Naßgetreidemühlen</t>
  </si>
  <si>
    <t>LV</t>
  </si>
  <si>
    <t>Latvia</t>
  </si>
  <si>
    <t>2047</t>
  </si>
  <si>
    <t>2047 - Lebensmittel- und verwandte Produkte - Hunde- und Katzenfutter</t>
  </si>
  <si>
    <t>LY</t>
  </si>
  <si>
    <t>Libya</t>
  </si>
  <si>
    <t>2048</t>
  </si>
  <si>
    <t>2048 - Lebensmittel- und verwandte Produkte - Futterpräparate u. Ingredienzen für Vieh u. Geflügel</t>
  </si>
  <si>
    <t>MA</t>
  </si>
  <si>
    <t>Morocco</t>
  </si>
  <si>
    <t>2051</t>
  </si>
  <si>
    <t>2051 - Lebensmittel- und verwandte Produkte - Brot- u. andere Backwaren, außer Keksen u. Crackers</t>
  </si>
  <si>
    <t>MC</t>
  </si>
  <si>
    <t>Monaco</t>
  </si>
  <si>
    <t>2052</t>
  </si>
  <si>
    <t>2052 - Lebensmittel- und verwandte Produkte - Kekse und Crackers</t>
  </si>
  <si>
    <t>MD</t>
  </si>
  <si>
    <t>Moldova, Republic of</t>
  </si>
  <si>
    <t>2053</t>
  </si>
  <si>
    <t>2053 - Lebensmittel- und verwandte Produkte - Tiefkühlbackwaren (außer Brot)</t>
  </si>
  <si>
    <t>ME</t>
  </si>
  <si>
    <t>Montenegro</t>
  </si>
  <si>
    <t>2061</t>
  </si>
  <si>
    <t>2061 - Lebensmittel- und verwandte Produkte - Rohrzucker, außer Raffinerie</t>
  </si>
  <si>
    <t>MF</t>
  </si>
  <si>
    <t>Saint Martin (French part)</t>
  </si>
  <si>
    <t>2062</t>
  </si>
  <si>
    <t>2062 - Lebensmittel- und verwandte Produkte - Rohrzuckerraffinerie</t>
  </si>
  <si>
    <t>MG</t>
  </si>
  <si>
    <t>Madagascar</t>
  </si>
  <si>
    <t>2063</t>
  </si>
  <si>
    <t>2063 - Lebensmittel- und verwandte Produkte - Rübenzucker</t>
  </si>
  <si>
    <t>MH</t>
  </si>
  <si>
    <t>Marshall Islands</t>
  </si>
  <si>
    <t>2064</t>
  </si>
  <si>
    <t>2064 - Lebensmittel- und verwandte Produkte - Bonbons u. andere Süßwaren, Konditorwaren</t>
  </si>
  <si>
    <t>MK</t>
  </si>
  <si>
    <t>Macedonia, the former Yugoslav Republic of</t>
  </si>
  <si>
    <t>2066</t>
  </si>
  <si>
    <t>2066 - Lebensmittel- und verwandte Produkte - Schokolade u. Kakaoprodukte</t>
  </si>
  <si>
    <t>ML</t>
  </si>
  <si>
    <t>Mali</t>
  </si>
  <si>
    <t>2067</t>
  </si>
  <si>
    <t>2067 - Lebensmittel- und verwandte Produkte - Kaugummi</t>
  </si>
  <si>
    <t>MM</t>
  </si>
  <si>
    <t>Myanmar</t>
  </si>
  <si>
    <t>2068</t>
  </si>
  <si>
    <t>2068 - Lebensmittel- und verwandte Produkte - Gesalzene und geröstete Nüsse</t>
  </si>
  <si>
    <t>MN</t>
  </si>
  <si>
    <t>Mongolia</t>
  </si>
  <si>
    <t>2074</t>
  </si>
  <si>
    <t>2074 - Lebensmittel- und verwandte Produkte - Baumwollsamenöl-Mühlen</t>
  </si>
  <si>
    <t>MO</t>
  </si>
  <si>
    <t>Macao</t>
  </si>
  <si>
    <t>2075</t>
  </si>
  <si>
    <t>2075 - Lebensmittel- und verwandte Produkte - Soyaölmühlen</t>
  </si>
  <si>
    <t>MP</t>
  </si>
  <si>
    <t>Northern Mariana Islands</t>
  </si>
  <si>
    <t>2076</t>
  </si>
  <si>
    <t>2076 - Lebensmittel- und verwandte Produkte - Pflanzenölmühlen, außer Baumwollsamen-, Soya- u. Maisöl</t>
  </si>
  <si>
    <t>MQ</t>
  </si>
  <si>
    <t>Martinique</t>
  </si>
  <si>
    <t>2077</t>
  </si>
  <si>
    <t>2077 - Lebensmittel- und verwandte Produkte - Tierische Fette, Fischöle</t>
  </si>
  <si>
    <t>MR</t>
  </si>
  <si>
    <t>Mauritania</t>
  </si>
  <si>
    <t>2079</t>
  </si>
  <si>
    <t>2079 - Lebensmittel- und verwandte Produkte - Sonstige Speisefette, Tafelöle, Margarine u. andere eßbare Fette u. Öle</t>
  </si>
  <si>
    <t>MS</t>
  </si>
  <si>
    <t>Montserrat</t>
  </si>
  <si>
    <t>2082</t>
  </si>
  <si>
    <t>2082 - Lebensmittel- und verwandte Produkte - Malzgetränke, Brauerei</t>
  </si>
  <si>
    <t>MT</t>
  </si>
  <si>
    <t>Malta</t>
  </si>
  <si>
    <t>2083</t>
  </si>
  <si>
    <t>2083 - Lebensmittel- und verwandte Produkte - Malz</t>
  </si>
  <si>
    <t>MU</t>
  </si>
  <si>
    <t>Mauritius</t>
  </si>
  <si>
    <t>2084</t>
  </si>
  <si>
    <t>2084 - Lebensmittel- und verwandte Produkte - Wein, Weinbrand u. Spirituosen</t>
  </si>
  <si>
    <t>MV</t>
  </si>
  <si>
    <t>Maldives</t>
  </si>
  <si>
    <t>2085</t>
  </si>
  <si>
    <t>2085 - Lebensmittel- und verwandte Produkte - Destillierter, verschnittener Alkohol, Likör, Whisky, Gin</t>
  </si>
  <si>
    <t>MW</t>
  </si>
  <si>
    <t>Malawi</t>
  </si>
  <si>
    <t>2086</t>
  </si>
  <si>
    <t>2086 - Lebensmittel- und verwandte Produkte - Abgefüllte Limonaden u. Sprudel in Flaschen u. Dosen</t>
  </si>
  <si>
    <t>MX</t>
  </si>
  <si>
    <t>Mexico</t>
  </si>
  <si>
    <t>2087</t>
  </si>
  <si>
    <t>2087 - Lebensmittel- und verwandte Produkte - Sonstige Aroma-Extrakte, Sirup</t>
  </si>
  <si>
    <t>MY</t>
  </si>
  <si>
    <t>Malaysia</t>
  </si>
  <si>
    <t>2091</t>
  </si>
  <si>
    <t>2091 - Lebensmittel- und verwandte Produkte - Fisch- u. Meeresfruchtkonserven, Räucherfisch</t>
  </si>
  <si>
    <t>MZ</t>
  </si>
  <si>
    <t>Mozambique</t>
  </si>
  <si>
    <t>2092</t>
  </si>
  <si>
    <t>2092 - Lebensmittel- und verwandte Produkte - Abgepackter Frisch- oder Gefrierfisch u. Meeresfrüchte</t>
  </si>
  <si>
    <t>NA</t>
  </si>
  <si>
    <t>Namibia</t>
  </si>
  <si>
    <t>2095</t>
  </si>
  <si>
    <t>2095 - Lebensmittel- und verwandte Produkte - Röstkaffee</t>
  </si>
  <si>
    <t>NC</t>
  </si>
  <si>
    <t>New Caledonia</t>
  </si>
  <si>
    <t>2096</t>
  </si>
  <si>
    <t>2096 - Lebensmittel- und verwandte Produkte - Kartoffelchips, Snacks</t>
  </si>
  <si>
    <t>NE</t>
  </si>
  <si>
    <t>Niger</t>
  </si>
  <si>
    <t>2097</t>
  </si>
  <si>
    <t>2097 - Lebensmittel- und verwandte Produkte - Speiseeis</t>
  </si>
  <si>
    <t>NF</t>
  </si>
  <si>
    <t>Norfolk Island</t>
  </si>
  <si>
    <t>2098</t>
  </si>
  <si>
    <t>2098 - Lebensmittel- und verwandte Produkte - Makkaroni, Spaghetti, Nudeln, Suppeneinlagen</t>
  </si>
  <si>
    <t>NG</t>
  </si>
  <si>
    <t>Nigeria</t>
  </si>
  <si>
    <t>2099</t>
  </si>
  <si>
    <t>2099 - Lebensmittel- und verwandte Produkte - Sonstige Lebensmittelprodukte</t>
  </si>
  <si>
    <t>NI</t>
  </si>
  <si>
    <t>Nicaragua</t>
  </si>
  <si>
    <t>2111</t>
  </si>
  <si>
    <t>2111 - Tabakprodukte - Zigaretten</t>
  </si>
  <si>
    <t>NL</t>
  </si>
  <si>
    <t>Netherlands</t>
  </si>
  <si>
    <t>2121</t>
  </si>
  <si>
    <t>2121 - Tabakprodukte - Zigarren</t>
  </si>
  <si>
    <t>NO</t>
  </si>
  <si>
    <t>Norway</t>
  </si>
  <si>
    <t>2131</t>
  </si>
  <si>
    <t>2131 - Tabakprodukte - Tabak (Rauch- u. Kautabak), Schnupftabak</t>
  </si>
  <si>
    <t>NP</t>
  </si>
  <si>
    <t>Nepal</t>
  </si>
  <si>
    <t>2141</t>
  </si>
  <si>
    <t>2141 - Tabakprodukte - Tabaktrocknung u. Entstielung</t>
  </si>
  <si>
    <t>NR</t>
  </si>
  <si>
    <t>Nauru</t>
  </si>
  <si>
    <t>2211</t>
  </si>
  <si>
    <t>2211 - Textilprodukte - Breitgewebe, Baumwolle</t>
  </si>
  <si>
    <t>NU</t>
  </si>
  <si>
    <t>Niue</t>
  </si>
  <si>
    <t>2221</t>
  </si>
  <si>
    <t>2221 - Textilprodukte - Breitgewebe aus Kunstfasern u. Seide</t>
  </si>
  <si>
    <t>NZ</t>
  </si>
  <si>
    <t>New Zealand</t>
  </si>
  <si>
    <t>2231</t>
  </si>
  <si>
    <t>2231 - Textilprodukte - Breitgewebefabriken, Wolle (einschl. Färberei u. Finishing)</t>
  </si>
  <si>
    <t>OM</t>
  </si>
  <si>
    <t>Oman</t>
  </si>
  <si>
    <t>2241</t>
  </si>
  <si>
    <t>2241 - Textilprodukte - Schmalwebereien u. andere Kleintextilienhersteller</t>
  </si>
  <si>
    <t>PA</t>
  </si>
  <si>
    <t>Panama</t>
  </si>
  <si>
    <t>2251</t>
  </si>
  <si>
    <t>2251 - Textilprodukte - Damenstrümpfe (lang) u. Kniestrümpfe</t>
  </si>
  <si>
    <t>PE</t>
  </si>
  <si>
    <t>Peru</t>
  </si>
  <si>
    <t>2252</t>
  </si>
  <si>
    <t>2252 - Textilprodukte - Sonstige Strumpfwaren, außer Damenstrümpfen (lang u. Kniestrümpfe)</t>
  </si>
  <si>
    <t>PF</t>
  </si>
  <si>
    <t>French Polynesia</t>
  </si>
  <si>
    <t>2253</t>
  </si>
  <si>
    <t>2253 - Textilprodukte - Strick-Oberbekleidung</t>
  </si>
  <si>
    <t>PG</t>
  </si>
  <si>
    <t>Papua New Guinea</t>
  </si>
  <si>
    <t>2254</t>
  </si>
  <si>
    <t>2254 - Textilprodukte - Strick-Unterbekleidung</t>
  </si>
  <si>
    <t>PH</t>
  </si>
  <si>
    <t>Philippines</t>
  </si>
  <si>
    <t>2257</t>
  </si>
  <si>
    <t>2257 - Textilprodukte - Rundstrickfabriken, Jersey cloth</t>
  </si>
  <si>
    <t>PK</t>
  </si>
  <si>
    <t>Pakistan</t>
  </si>
  <si>
    <t>2258</t>
  </si>
  <si>
    <t>2258 - Textilprodukte - Kettengewirke</t>
  </si>
  <si>
    <t>PL</t>
  </si>
  <si>
    <t>Poland</t>
  </si>
  <si>
    <t>2259</t>
  </si>
  <si>
    <t>2259 - Textilprodukte - Sonstige Strickereien</t>
  </si>
  <si>
    <t>PM</t>
  </si>
  <si>
    <t>Saint Pierre and Miquelon</t>
  </si>
  <si>
    <t>2261</t>
  </si>
  <si>
    <t>2261 - Textilprodukte - Endbearbeitung u. Ausrüstung von Breitgeweben aus Baumwolle</t>
  </si>
  <si>
    <t>PN</t>
  </si>
  <si>
    <t>Pitcairn</t>
  </si>
  <si>
    <t>2262</t>
  </si>
  <si>
    <t>2262 - Textilprodukte - Endbearbeitung u. Ausrüstung von Breitgeweben aus Kunstfasern u. Seide</t>
  </si>
  <si>
    <t>PR</t>
  </si>
  <si>
    <t>Puerto Rico</t>
  </si>
  <si>
    <t>2269</t>
  </si>
  <si>
    <t>2269 - Textilprodukte - Sonstige Textilendbearbeitung u. Ausrüstung</t>
  </si>
  <si>
    <t>PS</t>
  </si>
  <si>
    <t>Palestine, State of</t>
  </si>
  <si>
    <t>2273</t>
  </si>
  <si>
    <t>2273 - Textilprodukte - Teppiche u. Läufer</t>
  </si>
  <si>
    <t>PT</t>
  </si>
  <si>
    <t>Portugal</t>
  </si>
  <si>
    <t>2281</t>
  </si>
  <si>
    <t>2281 - Textilprodukte - Garnspinnereien</t>
  </si>
  <si>
    <t>PW</t>
  </si>
  <si>
    <t>Palau</t>
  </si>
  <si>
    <t>2282</t>
  </si>
  <si>
    <t>2282 - Textilprodukte - Garntexturierung, Zwirnereien u. Veredlung</t>
  </si>
  <si>
    <t>PY</t>
  </si>
  <si>
    <t>Paraguay</t>
  </si>
  <si>
    <t>2284</t>
  </si>
  <si>
    <t>2284 - Textilprodukte - Nähgarnfabriken, Nähseide</t>
  </si>
  <si>
    <t>QA</t>
  </si>
  <si>
    <t>Qatar</t>
  </si>
  <si>
    <t>2295</t>
  </si>
  <si>
    <t>2295 - Textilprodukte - Beschichtete Gewebe, nicht gummiert</t>
  </si>
  <si>
    <t>RE</t>
  </si>
  <si>
    <t>Réunion</t>
  </si>
  <si>
    <t>2296</t>
  </si>
  <si>
    <t>2296 - Textilprodukte - Reifencord u. -Gewebe</t>
  </si>
  <si>
    <t>RO</t>
  </si>
  <si>
    <t>Romania</t>
  </si>
  <si>
    <t>2297</t>
  </si>
  <si>
    <t>2297 - Textilprodukte - Faservliesstoffe</t>
  </si>
  <si>
    <t>RS</t>
  </si>
  <si>
    <t>Serbia</t>
  </si>
  <si>
    <t>2298</t>
  </si>
  <si>
    <t>2298 - Textilprodukte - Seilerei</t>
  </si>
  <si>
    <t>RU</t>
  </si>
  <si>
    <t>Russian Federation</t>
  </si>
  <si>
    <t>2299</t>
  </si>
  <si>
    <t>2299 - Textilprodukte - Sonstige Textilwaren</t>
  </si>
  <si>
    <t>RW</t>
  </si>
  <si>
    <t>Rwanda</t>
  </si>
  <si>
    <t>2311</t>
  </si>
  <si>
    <t>2311 - Oberbekleidung und andere Fertigprodukte aus Stoff und ähnlichem Material - Herren- u. Knabenanzüge, Jacken u. Mäntel, Uniformen</t>
  </si>
  <si>
    <t>Saudi Arabia</t>
  </si>
  <si>
    <t>2321</t>
  </si>
  <si>
    <t>2321 - Oberbekleidung und andere Fertigprodukte aus Stoff und ähnlichem Material - Herren-, Twen- u. Knabenhemden (außer Arbeitshemden)</t>
  </si>
  <si>
    <t>SB</t>
  </si>
  <si>
    <t>Solomon Islands</t>
  </si>
  <si>
    <t>2322</t>
  </si>
  <si>
    <t>2322 - Oberbekleidung und andere Fertigprodukte aus Stoff und ähnlichem Material - Herren- u. Knabenunterwäsche, Nachtwäsche</t>
  </si>
  <si>
    <t>SC</t>
  </si>
  <si>
    <t>Seychelles</t>
  </si>
  <si>
    <t>2323</t>
  </si>
  <si>
    <t>2323 - Oberbekleidung und andere Fertigprodukte aus Stoff und ähnlichem Material - Herren- u. Knabenschals, Halstücher, Krawatten</t>
  </si>
  <si>
    <t>SD</t>
  </si>
  <si>
    <t>Sudan</t>
  </si>
  <si>
    <t>2325</t>
  </si>
  <si>
    <t>2325 - Oberbekleidung und andere Fertigprodukte aus Stoff und ähnlichem Material - Herren-, Twen- u. Knabenhosen</t>
  </si>
  <si>
    <t>Sweden</t>
  </si>
  <si>
    <t>2326</t>
  </si>
  <si>
    <t>2326 - Oberbekleidung und andere Fertigprodukte aus Stoff und ähnlichem Material - Herren- u. Knabenarbeitskleidung</t>
  </si>
  <si>
    <t>SG</t>
  </si>
  <si>
    <t>Singapore</t>
  </si>
  <si>
    <t>2329</t>
  </si>
  <si>
    <t>2329 - Oberbekleidung und andere Fertigprodukte aus Stoff und ähnlichem Material - Sonstige Herren-, Twen- u. Knabenbekleidung</t>
  </si>
  <si>
    <t>SH</t>
  </si>
  <si>
    <t>Saint Helena, Ascension and Tristan da Cunha</t>
  </si>
  <si>
    <t>2331</t>
  </si>
  <si>
    <t>2331 - Oberbekleidung und andere Fertigprodukte aus Stoff und ähnlichem Material - Damen- u. Mädchenblusen u. Hemden</t>
  </si>
  <si>
    <t>SI</t>
  </si>
  <si>
    <t>Slovenia</t>
  </si>
  <si>
    <t>2335</t>
  </si>
  <si>
    <t>2335 - Oberbekleidung und andere Fertigprodukte aus Stoff und ähnlichem Material - Damen- u. Mädchenkleider</t>
  </si>
  <si>
    <t>SJ</t>
  </si>
  <si>
    <t>Svalbard and Jan Mayen</t>
  </si>
  <si>
    <t>2337</t>
  </si>
  <si>
    <t>2337 - Oberbekleidung und andere Fertigprodukte aus Stoff und ähnlichem Material - Damen- u. Mädchenmäntel, -Röcke u. -Anzüge, -Kostüme, Uniformen</t>
  </si>
  <si>
    <t>SK</t>
  </si>
  <si>
    <t>Slovakia</t>
  </si>
  <si>
    <t>2339</t>
  </si>
  <si>
    <t>2339 - Oberbekleidung und andere Fertigprodukte aus Stoff und ähnlichem Material - Sonstige Damen- u. Mädchenoberbekleidung</t>
  </si>
  <si>
    <t>SL</t>
  </si>
  <si>
    <t>Sierra Leone</t>
  </si>
  <si>
    <t>2341</t>
  </si>
  <si>
    <t>2341 - Oberbekleidung und andere Fertigprodukte aus Stoff und ähnlichem Material - Unterwäsche für Damen, Mädchen u. Babies, Nachtwäsche</t>
  </si>
  <si>
    <t>SM</t>
  </si>
  <si>
    <t>San Marino</t>
  </si>
  <si>
    <t>2342</t>
  </si>
  <si>
    <t>2342 - Oberbekleidung und andere Fertigprodukte aus Stoff und ähnlichem Material - Miederwaren</t>
  </si>
  <si>
    <t>SN</t>
  </si>
  <si>
    <t>Senegal</t>
  </si>
  <si>
    <t>2353</t>
  </si>
  <si>
    <t>2353 - Oberbekleidung und andere Fertigprodukte aus Stoff und ähnlichem Material - Hüte, Kappen und Kopfbedeckungen</t>
  </si>
  <si>
    <t>SO</t>
  </si>
  <si>
    <t>Somalia</t>
  </si>
  <si>
    <t>2361</t>
  </si>
  <si>
    <t>2361 - Oberbekleidung und andere Fertigprodukte aus Stoff und ähnlichem Material - Mädchen- u. Kinderkleider, -blusen u. -hemden, Babykleider</t>
  </si>
  <si>
    <t>SR</t>
  </si>
  <si>
    <t>Suriname</t>
  </si>
  <si>
    <t>2369</t>
  </si>
  <si>
    <t>2369 - Oberbekleidung und andere Fertigprodukte aus Stoff und ähnlichem Material - Sonstige Mädchen- u. Kinderoberbekleidung, Babyoberbekleidung</t>
  </si>
  <si>
    <t>SS</t>
  </si>
  <si>
    <t>South Sudan</t>
  </si>
  <si>
    <t>2371</t>
  </si>
  <si>
    <t>2371 - Oberbekleidung und andere Fertigprodukte aus Stoff und ähnlichem Material - Pelzwaren</t>
  </si>
  <si>
    <t>ST</t>
  </si>
  <si>
    <t>Sao Tome and Principe</t>
  </si>
  <si>
    <t>2381</t>
  </si>
  <si>
    <t>2381 - Oberbekleidung und andere Fertigprodukte aus Stoff und ähnlichem Material - Handschuhe, außer gestrickte u. Lederhandschuhen</t>
  </si>
  <si>
    <t>SV</t>
  </si>
  <si>
    <t>El Salvador</t>
  </si>
  <si>
    <t>2384</t>
  </si>
  <si>
    <t>2384 - Oberbekleidung und andere Fertigprodukte aus Stoff und ähnlichem Material - Morgenröcke u. Hauskleidung, Bademäntel</t>
  </si>
  <si>
    <t>SX</t>
  </si>
  <si>
    <t>Sint Maarten (Dutch part)</t>
  </si>
  <si>
    <t>2385</t>
  </si>
  <si>
    <t>2385 - Oberbekleidung und andere Fertigprodukte aus Stoff und ähnlichem Material - Regenmäntel u. andere wasserdichte Oberbekleidung</t>
  </si>
  <si>
    <t>SY</t>
  </si>
  <si>
    <t>Syrian Arab Republic</t>
  </si>
  <si>
    <t>2386</t>
  </si>
  <si>
    <t>2386 - Oberbekleidung und andere Fertigprodukte aus Stoff und ähnlichem Material - Leder- u. lammfellgefütterte Oberbekleidung</t>
  </si>
  <si>
    <t>SZ</t>
  </si>
  <si>
    <t>Eswatini</t>
  </si>
  <si>
    <t>2387</t>
  </si>
  <si>
    <t>2387 - Oberbekleidung und andere Fertigprodukte aus Stoff und ähnlichem Material - Gürtel</t>
  </si>
  <si>
    <t>TC</t>
  </si>
  <si>
    <t>Turks and Caicos Islands</t>
  </si>
  <si>
    <t>2389</t>
  </si>
  <si>
    <t>2389 - Oberbekleidung und andere Fertigprodukte aus Stoff und ähnlichem Material - Sonstiges Bekleidungszubehör (Knöpfe, Schnallen etc.)</t>
  </si>
  <si>
    <t>TD</t>
  </si>
  <si>
    <t>Chad</t>
  </si>
  <si>
    <t>2391</t>
  </si>
  <si>
    <t>2391 - Oberbekleidung und andere Fertigprodukte aus Stoff und ähnlichem Material - Gardinen, Vorhänge</t>
  </si>
  <si>
    <t>TF</t>
  </si>
  <si>
    <t>French Southern Territories</t>
  </si>
  <si>
    <t>2392</t>
  </si>
  <si>
    <t>2392 - Oberbekleidung und andere Fertigprodukte aus Stoff und ähnlichem Material - Heimtextilien, außer Vorhängen u. Gardinen</t>
  </si>
  <si>
    <t>TG</t>
  </si>
  <si>
    <t>Togo</t>
  </si>
  <si>
    <t>2393</t>
  </si>
  <si>
    <t>2393 - Oberbekleidung und andere Fertigprodukte aus Stoff und ähnlichem Material - Stoff-Tragetaschen</t>
  </si>
  <si>
    <t>TH</t>
  </si>
  <si>
    <t>Thailand</t>
  </si>
  <si>
    <t>2394</t>
  </si>
  <si>
    <t>2394 - Oberbekleidung und andere Fertigprodukte aus Stoff und ähnlichem Material - Segeltuch u. verwandte Stoffe, Zelte, Planen</t>
  </si>
  <si>
    <t>TJ</t>
  </si>
  <si>
    <t>Tajikistan</t>
  </si>
  <si>
    <t>2395</t>
  </si>
  <si>
    <t>2395 - Oberbekleidung und andere Fertigprodukte aus Stoff und ähnlichem Material - Plissieren, Zierstepperei, Musterpresserei</t>
  </si>
  <si>
    <t>TK</t>
  </si>
  <si>
    <t>Tokelau</t>
  </si>
  <si>
    <t>2396</t>
  </si>
  <si>
    <t>2396 - Oberbekleidung und andere Fertigprodukte aus Stoff und ähnlichem Material - Einfassungen, maschinelle Bortennäherei, Zubehör für Oberbekleidung etc.</t>
  </si>
  <si>
    <t>TL</t>
  </si>
  <si>
    <t>Timor-Leste</t>
  </si>
  <si>
    <t>2397</t>
  </si>
  <si>
    <t>2397 - Oberbekleidung und andere Fertigprodukte aus Stoff und ähnlichem Material - Schiffli-Maschinenstickerei</t>
  </si>
  <si>
    <t>TM</t>
  </si>
  <si>
    <t>Turkmenistan</t>
  </si>
  <si>
    <t>2399</t>
  </si>
  <si>
    <t>2399 - Oberbekleidung und andere Fertigprodukte aus Stoff und ähnlichem Material - Sonstige Textil-Fertigprodukte</t>
  </si>
  <si>
    <t>TN</t>
  </si>
  <si>
    <t>Tunisia</t>
  </si>
  <si>
    <t>2411</t>
  </si>
  <si>
    <t>2411 - Holzwaren, außer Möbeln - Holzfällerei</t>
  </si>
  <si>
    <t>TO</t>
  </si>
  <si>
    <t>Tonga</t>
  </si>
  <si>
    <t>2421</t>
  </si>
  <si>
    <t>2421 - Holzwaren, außer Möbeln - Säge- u. Hobelwerke</t>
  </si>
  <si>
    <t>TR</t>
  </si>
  <si>
    <t>Turkey</t>
  </si>
  <si>
    <t>2426</t>
  </si>
  <si>
    <t>2426 - Holzwaren, außer Möbeln - Hartholzschneiderei u. Parkettfabriken</t>
  </si>
  <si>
    <t>TT</t>
  </si>
  <si>
    <t>Trinidad and Tobago</t>
  </si>
  <si>
    <t>2429</t>
  </si>
  <si>
    <t>2429 - Holzwaren, außer Möbeln - Sägemühlen für Spezialprodukte</t>
  </si>
  <si>
    <t>TV</t>
  </si>
  <si>
    <t>Tuvalu</t>
  </si>
  <si>
    <t>2431</t>
  </si>
  <si>
    <t>2431 - Holzwaren, außer Möbeln - Bauschreinereiprodukte, Holzverkleidung, Fensterrahmen</t>
  </si>
  <si>
    <t>TW</t>
  </si>
  <si>
    <t>Taiwan, Province of China</t>
  </si>
  <si>
    <t>2434</t>
  </si>
  <si>
    <t>2434 - Holzwaren, außer Möbeln - Küchenmöbel aus Holz</t>
  </si>
  <si>
    <t>TZ</t>
  </si>
  <si>
    <t>Tanzania, United Republic of</t>
  </si>
  <si>
    <t>2435</t>
  </si>
  <si>
    <t>2435 - Holzwaren, außer Möbeln - Hartholzfurnier u. Sperrholz</t>
  </si>
  <si>
    <t>UA</t>
  </si>
  <si>
    <t>Ukraine</t>
  </si>
  <si>
    <t>2436</t>
  </si>
  <si>
    <t>2436 - Holzwaren, außer Möbeln - Weichholzfurnier u. Sperrholz</t>
  </si>
  <si>
    <t>Uganda</t>
  </si>
  <si>
    <t>2439</t>
  </si>
  <si>
    <t>2439 - Holzwaren, außer Möbeln - Sonstige Holzprodukte f. Bauzwecke (Fachwerk, Dachstühle, Balken)</t>
  </si>
  <si>
    <t>UM</t>
  </si>
  <si>
    <t>United States Minor Outlying Islands</t>
  </si>
  <si>
    <t>2441</t>
  </si>
  <si>
    <t>2441 - Holzwaren, außer Möbeln - Genagelte u. genietete Holzkästen u. Fächer u. Faßdauben</t>
  </si>
  <si>
    <t>US</t>
  </si>
  <si>
    <t>United States of America</t>
  </si>
  <si>
    <t>2448</t>
  </si>
  <si>
    <t>2448 - Holzwaren, außer Möbeln - Holzpritschen u. Rutschen, Paletten</t>
  </si>
  <si>
    <t>UY</t>
  </si>
  <si>
    <t>Uruguay</t>
  </si>
  <si>
    <t>2449</t>
  </si>
  <si>
    <t>2449 - Holzwaren, außer Möbeln - Sonstige Holzcontainer, Kisten</t>
  </si>
  <si>
    <t>UZ</t>
  </si>
  <si>
    <t>Uzbekistan</t>
  </si>
  <si>
    <t>2451</t>
  </si>
  <si>
    <t>2451 - Holzwaren, außer Möbeln - Wohnmobile, Schulzimmer (fahrbar)</t>
  </si>
  <si>
    <t>VA</t>
  </si>
  <si>
    <t>Holy See</t>
  </si>
  <si>
    <t>2452</t>
  </si>
  <si>
    <t>2452 - Holzwaren, außer Möbeln - Holzfertighäuser u. Fertigteile, Saunas, Holztrennwände</t>
  </si>
  <si>
    <t>VC</t>
  </si>
  <si>
    <t>Saint Vincent and the Grenadines</t>
  </si>
  <si>
    <t>2491</t>
  </si>
  <si>
    <t>2491 - Holzwaren, außer Möbeln - Holzimprägnierung</t>
  </si>
  <si>
    <t>VE</t>
  </si>
  <si>
    <t>Venezuela, Bolivarian Republic of</t>
  </si>
  <si>
    <t>2493</t>
  </si>
  <si>
    <t>2493 - Holzwaren, außer Möbeln - Spanplatten</t>
  </si>
  <si>
    <t>VG</t>
  </si>
  <si>
    <t>Virgin Islands, British</t>
  </si>
  <si>
    <t>2499</t>
  </si>
  <si>
    <t>2499 - Holzwaren, außer Möbeln - Sonstige Holzprodukte</t>
  </si>
  <si>
    <t>VI</t>
  </si>
  <si>
    <t>Virgin Islands, U.S.</t>
  </si>
  <si>
    <t>2511</t>
  </si>
  <si>
    <t>2511 - Möbel und Einrichtungsgegenstände - Hausmöbel aus Holz, außer Polstermöbeln</t>
  </si>
  <si>
    <t>VN</t>
  </si>
  <si>
    <t>Viet Nam</t>
  </si>
  <si>
    <t>2512</t>
  </si>
  <si>
    <t>2512 - Möbel und Einrichtungsgegenstände - Hausmöbel aus Holz, gepolstert</t>
  </si>
  <si>
    <t>VU</t>
  </si>
  <si>
    <t>Vanuatu</t>
  </si>
  <si>
    <t>2514</t>
  </si>
  <si>
    <t>2514 - Möbel und Einrichtungsgegenstände - Metall-Haushaltsmöbel, Einbauküchen</t>
  </si>
  <si>
    <t>WF</t>
  </si>
  <si>
    <t>Wallis and Futuna</t>
  </si>
  <si>
    <t>2515</t>
  </si>
  <si>
    <t>2515 - Möbel und Einrichtungsgegenstände - Matratzen u. Sprungfedern f. Betten</t>
  </si>
  <si>
    <t>WS</t>
  </si>
  <si>
    <t>Samoa</t>
  </si>
  <si>
    <t>2517</t>
  </si>
  <si>
    <t>2517 - Möbel und Einrichtungsgegenstände - Holzgehäuse für Fernseh- u. Radiogeräte, Plattenspieler, Nähmaschinen</t>
  </si>
  <si>
    <t>YE</t>
  </si>
  <si>
    <t>Yemen</t>
  </si>
  <si>
    <t>2519</t>
  </si>
  <si>
    <t>2519 - Möbel und Einrichtungsgegenstände - Sonstige Hausmöbel</t>
  </si>
  <si>
    <t>YT</t>
  </si>
  <si>
    <t>Mayotte</t>
  </si>
  <si>
    <t>2521</t>
  </si>
  <si>
    <t>2521 - Möbel und Einrichtungsgegenstände - Holz-Büromöbel</t>
  </si>
  <si>
    <t>ZA</t>
  </si>
  <si>
    <t>South Africa</t>
  </si>
  <si>
    <t>2522</t>
  </si>
  <si>
    <t>2522 - Möbel und Einrichtungsgegenstände - Büromöbel (außer Holz-)</t>
  </si>
  <si>
    <t>ZM</t>
  </si>
  <si>
    <t>Zambia</t>
  </si>
  <si>
    <t>2531</t>
  </si>
  <si>
    <t>2531 - Möbel und Einrichtungsgegenstände - Möbel für öffentliche Einrichtungen, Parkbänke usw.</t>
  </si>
  <si>
    <t>ZW</t>
  </si>
  <si>
    <t>Zimbabwe</t>
  </si>
  <si>
    <t>2541</t>
  </si>
  <si>
    <t>2541 - Möbel und Einrichtungsgegenstände - Holztrennwände, Regale, Büro- u. Lagereinrichtungen</t>
  </si>
  <si>
    <t>2542</t>
  </si>
  <si>
    <t>2542 - Möbel und Einrichtungsgegenstände - Trennwände, Regale, Büro- u. Lagereinrichtungen (außer Holz)</t>
  </si>
  <si>
    <t>2591</t>
  </si>
  <si>
    <t>2591 - Möbel und Einrichtungsgegenstände - Metallwaren für Innenausstattung</t>
  </si>
  <si>
    <t>2599</t>
  </si>
  <si>
    <t>2599 - Möbel und Einrichtungsgegenstände - Sonstige Möbel- u. Einrichtungsgegenstände</t>
  </si>
  <si>
    <t>2611</t>
  </si>
  <si>
    <t>2611 - Papier und verwandte Produkte - Papiermassehersteller, Altpapieraufbereitung</t>
  </si>
  <si>
    <t>2621</t>
  </si>
  <si>
    <t>2621 - Papier und verwandte Produkte - Papierfabriken</t>
  </si>
  <si>
    <t>2631</t>
  </si>
  <si>
    <t>2631 - Papier und verwandte Produkte - Kartonagenfabriken</t>
  </si>
  <si>
    <t>2652</t>
  </si>
  <si>
    <t>2652 - Papier und verwandte Produkte - Zusammensetzbare Kartons</t>
  </si>
  <si>
    <t>2653</t>
  </si>
  <si>
    <t>2653 - Papier und verwandte Produkte - Hartfaserplattenschachteln u. Wellpappkartons</t>
  </si>
  <si>
    <t>2655</t>
  </si>
  <si>
    <t>2655 - Papier und verwandte Produkte - Faserstoffbecher, Dosen, Trommeln etc.</t>
  </si>
  <si>
    <t>2656</t>
  </si>
  <si>
    <t>2656 - Papier und verwandte Produkte - Hygienische Lebensmittelbehälter (außer faltbare)</t>
  </si>
  <si>
    <t>2657</t>
  </si>
  <si>
    <t>2657 - Papier und verwandte Produkte - Faltkartons (auch für Lebensmittel)</t>
  </si>
  <si>
    <t>2671</t>
  </si>
  <si>
    <t>2671 - Papier und verwandte Produkte - Packpapier u. Plastikfolie, beschichtet</t>
  </si>
  <si>
    <t>2672</t>
  </si>
  <si>
    <t>2672 - Papier und verwandte Produkte - Sonstige beschichtete Papiere</t>
  </si>
  <si>
    <t>2673</t>
  </si>
  <si>
    <t>2673 - Papier und verwandte Produkte - Plastikbeschichtete Tüten, Säcke und Beutel</t>
  </si>
  <si>
    <t>2674</t>
  </si>
  <si>
    <t>2674 - Papier und verwandte Produkte - Unbeschichtete u. mehrwandige Papiertüten, Tüten, Beutel, Säcke</t>
  </si>
  <si>
    <t>2675</t>
  </si>
  <si>
    <t>2675 - Papier und verwandte Produkte - Stanzpapier und Pappe</t>
  </si>
  <si>
    <t>2676</t>
  </si>
  <si>
    <t>2676 - Papier und verwandte Produkte - Hygienepapierprodukte</t>
  </si>
  <si>
    <t>2677</t>
  </si>
  <si>
    <t>2677 - Papier und verwandte Produkte - Briefumschläge</t>
  </si>
  <si>
    <t>2678</t>
  </si>
  <si>
    <t>2678 - Papier und verwandte Produkte - Schreibwaren, Schreibblöcke, verwandte Produkte</t>
  </si>
  <si>
    <t>2679</t>
  </si>
  <si>
    <t>2679 - Papier und verwandte Produkte - Sonstige Produkte aus verarbeitetem Papier</t>
  </si>
  <si>
    <t>2711</t>
  </si>
  <si>
    <t>2711 - Druckereien, Verlage und verwandte Betriebe - Zeitungen: Verlag oder Verlag u. Druckerei</t>
  </si>
  <si>
    <t>2721</t>
  </si>
  <si>
    <t>2721 - Druckereien, Verlage und verwandte Betriebe - Zeitschriften: Verlag, Druckerei u. Verlag</t>
  </si>
  <si>
    <t>2731</t>
  </si>
  <si>
    <t>2731 - Druckereien, Verlage und verwandte Betriebe - Bücher: Verlag, Druckerei u. Verlag</t>
  </si>
  <si>
    <t>2732</t>
  </si>
  <si>
    <t>2732 - Druckereien, Verlage und verwandte Betriebe - Buchdruckerei</t>
  </si>
  <si>
    <t>2741</t>
  </si>
  <si>
    <t>2741 - Druckereien, Verlage und verwandte Betriebe - Versch. Publikationen, Drucksachen f. gewerbl. Zwecke</t>
  </si>
  <si>
    <t>2752</t>
  </si>
  <si>
    <t>2752 - Druckereien, Verlage und verwandte Betriebe - Druckerzeugnisse f. gewerbl. Zwecke, Lithografie, Offsetdruck</t>
  </si>
  <si>
    <t>2754</t>
  </si>
  <si>
    <t>2754 - Druckereien, Verlage und verwandte Betriebe - Druckerzeugnisse f. gewerbl. Zwecke, Tiefdruck</t>
  </si>
  <si>
    <t>2759</t>
  </si>
  <si>
    <t>2759 - Druckereien, Verlage und verwandte Betriebe - Sonstige Druckerzeugnisse f. gewerbl. Zwecke</t>
  </si>
  <si>
    <t>2761</t>
  </si>
  <si>
    <t>2761 - Druckereien, Verlage und verwandte Betriebe - Versch. Geschäftsformulare</t>
  </si>
  <si>
    <t>2771</t>
  </si>
  <si>
    <t>2771 - Druckereien, Verlage und verwandte Betriebe - Grußkartenverlag</t>
  </si>
  <si>
    <t>2782</t>
  </si>
  <si>
    <t>2782 - Druckereien, Verlage und verwandte Betriebe - Hefte, Loseblattordner etc.</t>
  </si>
  <si>
    <t>2789</t>
  </si>
  <si>
    <t>2789 - Druckereien, Verlage und verwandte Betriebe - Buchbinder- u. verwandte Arbeiten</t>
  </si>
  <si>
    <t>2791</t>
  </si>
  <si>
    <t>2791 - Druckereien, Verlage und verwandte Betriebe - Setzerei</t>
  </si>
  <si>
    <t>2796</t>
  </si>
  <si>
    <t>2796 - Druckereien, Verlage und verwandte Betriebe - Druckplattenherstellung u. verwandte Dienstleistungen</t>
  </si>
  <si>
    <t>2812</t>
  </si>
  <si>
    <t>2812 - Chemikalien und verwandte Produkte - Alkali u. Chlor, Ätzmittel, Alkaliverbindungen</t>
  </si>
  <si>
    <t>2813</t>
  </si>
  <si>
    <t>2813 - Chemikalien und verwandte Produkte - Industriegase</t>
  </si>
  <si>
    <t>2816</t>
  </si>
  <si>
    <t>2816 - Chemikalien und verwandte Produkte - Anorganische Pigmente</t>
  </si>
  <si>
    <t>2819</t>
  </si>
  <si>
    <t>2819 - Chemikalien und verwandte Produkte - Sonstige anorganische Industriechemikalien</t>
  </si>
  <si>
    <t>2821</t>
  </si>
  <si>
    <t>2821 - Chemikalien und verwandte Produkte - Plastikmaterial, Kunstharz, nicht vulkanisierbare Elastomere</t>
  </si>
  <si>
    <t>2822</t>
  </si>
  <si>
    <t>2822 - Chemikalien und verwandte Produkte - Synthetischer Gummi (vulkanisierbare Elastomere)</t>
  </si>
  <si>
    <t>2823</t>
  </si>
  <si>
    <t>2823 - Chemikalien und verwandte Produkte - Zellulosehaltige Kunstfasern</t>
  </si>
  <si>
    <t>2824</t>
  </si>
  <si>
    <t>2824 - Chemikalien und verwandte Produkte - Synthetische organische Fasern, außer Zellulose</t>
  </si>
  <si>
    <t>2833</t>
  </si>
  <si>
    <t>2833 - Chemikalien und verwandte Produkte - Medizinische Chemikalien u. Pflanzenprodukte, Arzneimittel</t>
  </si>
  <si>
    <t>2834</t>
  </si>
  <si>
    <t>2834 - Chemikalien und verwandte Produkte - Pharmazeutische Präparate</t>
  </si>
  <si>
    <t>2835</t>
  </si>
  <si>
    <t>2835 - Chemikalien und verwandte Produkte - Diagnosepräparate</t>
  </si>
  <si>
    <t>2836</t>
  </si>
  <si>
    <t>2836 - Chemikalien und verwandte Produkte - Biologische Produkte (außer Diagnosepräparate)</t>
  </si>
  <si>
    <t>2841</t>
  </si>
  <si>
    <t>2841 - Chemikalien und verwandte Produkte - Seife u. andere Reinigungsmittel, außer Spezialreinigern</t>
  </si>
  <si>
    <t>2842</t>
  </si>
  <si>
    <t>2842 - Chemikalien und verwandte Produkte - Spezialreiniger, Poliermittel u. hygienische Präparate</t>
  </si>
  <si>
    <t>2843</t>
  </si>
  <si>
    <t>2843 - Chemikalien und verwandte Produkte - Oberflächenaktive Chemikalien, Hilfsstoffe, sulfurierte Öle</t>
  </si>
  <si>
    <t>2844</t>
  </si>
  <si>
    <t>2844 - Chemikalien und verwandte Produkte - Kosmetikprodukte, Parfums u. andere Toilettenartikel</t>
  </si>
  <si>
    <t>2851</t>
  </si>
  <si>
    <t>2851 - Chemikalien und verwandte Produkte - Farben, Lacke, Firnis, Emaille usw.</t>
  </si>
  <si>
    <t>2861</t>
  </si>
  <si>
    <t>2861 - Chemikalien und verwandte Produkte - Gummi- u. Holzchemikalien</t>
  </si>
  <si>
    <t>2865</t>
  </si>
  <si>
    <t>2865 - Chemikalien und verwandte Produkte - Farben, organische Pigmente, Toner, Rohstoffe</t>
  </si>
  <si>
    <t>2869</t>
  </si>
  <si>
    <t>2869 - Chemikalien und verwandte Produkte - Sonstige organische Industriechemikalien</t>
  </si>
  <si>
    <t>2873</t>
  </si>
  <si>
    <t>2873 - Chemikalien und verwandte Produkte - Stickstoffdünger</t>
  </si>
  <si>
    <t>2874</t>
  </si>
  <si>
    <t>2874 - Chemikalien und verwandte Produkte - Phosphatdünger</t>
  </si>
  <si>
    <t>2875</t>
  </si>
  <si>
    <t>2875 - Chemikalien und verwandte Produkte - Ausschl. Düngermischungen</t>
  </si>
  <si>
    <t>2879</t>
  </si>
  <si>
    <t>2879 - Chemikalien und verwandte Produkte - Sonstige landwirtsch. Chemikalien, Schädlingsbekämpfungsmittel</t>
  </si>
  <si>
    <t>2891</t>
  </si>
  <si>
    <t>2891 - Chemikalien und verwandte Produkte - Klebstoffe u. Versiegelungsmaterial, Dichtungs- u. Isoliermassen</t>
  </si>
  <si>
    <t>2892</t>
  </si>
  <si>
    <t>2892 - Chemikalien und verwandte Produkte - Sprengstoffe</t>
  </si>
  <si>
    <t>2893</t>
  </si>
  <si>
    <t>2893 - Chemikalien und verwandte Produkte - Druckfarben</t>
  </si>
  <si>
    <t>2895</t>
  </si>
  <si>
    <t>2895 - Chemikalien und verwandte Produkte - Ruß</t>
  </si>
  <si>
    <t>2899</t>
  </si>
  <si>
    <t>2899 - Chemikalien und verwandte Produkte - Sonstige Chemikalien u. chemische Präparate, Salz, Essenzen, Feuerwerk</t>
  </si>
  <si>
    <t>2911</t>
  </si>
  <si>
    <t>2911 - Erdölraffinerie und verwandte Produkte - Erdölraffinerien</t>
  </si>
  <si>
    <t>2951</t>
  </si>
  <si>
    <t>2951 - Erdölraffinerie und verwandte Produkte - Asphaltmischungen und -Blöcke</t>
  </si>
  <si>
    <t>2952</t>
  </si>
  <si>
    <t>2952 - Erdölraffinerie und verwandte Produkte - Asphaltfilz u. Asphaltbeschichtungen</t>
  </si>
  <si>
    <t>2992</t>
  </si>
  <si>
    <t>2992 - Erdölraffinerie und verwandte Produkte - Schmieröle u. -Fette</t>
  </si>
  <si>
    <t>2999</t>
  </si>
  <si>
    <t>2999 - Erdölraffinerie und verwandte Produkte - Mineralöl- u. Kohleprodukte etc.</t>
  </si>
  <si>
    <t>3011</t>
  </si>
  <si>
    <t>3011 - Gummi und verschiedene Plastikprodukte - Reifen u. Schläuche</t>
  </si>
  <si>
    <t>3021</t>
  </si>
  <si>
    <t>3021 - Gummi und verschiedene Plastikprodukte - Gummi- u. Plastikfußbekleidung</t>
  </si>
  <si>
    <t>3052</t>
  </si>
  <si>
    <t>3052 - Gummi und verschiedene Plastikprodukte - Gummi- u. Plastikschläuche u. -Riemen</t>
  </si>
  <si>
    <t>3053</t>
  </si>
  <si>
    <t>3053 - Gummi und verschiedene Plastikprodukte - Dichtungsringe, Dichtungs- u. Versiegelungsmaterial</t>
  </si>
  <si>
    <t>3061</t>
  </si>
  <si>
    <t>3061 - Gummi und verschiedene Plastikprodukte - Mechanische Gummiprodukte</t>
  </si>
  <si>
    <t>3069</t>
  </si>
  <si>
    <t>3069 - Gummi und verschiedene Plastikprodukte - Sonstige Gummiprodukte etc.</t>
  </si>
  <si>
    <t>3081</t>
  </si>
  <si>
    <t>3081 - Gummi und verschiedene Plastikprodukte - Unverstärkte Kunststoffolien und -platten</t>
  </si>
  <si>
    <t>3082</t>
  </si>
  <si>
    <t>3082 - Gummi und verschiedene Plastikprodukte - Unverstärkte Kunststoffprofile</t>
  </si>
  <si>
    <t>3083</t>
  </si>
  <si>
    <t>3083 - Gummi und verschiedene Plastikprodukte - Laminierte Kunststoffolien und -platten</t>
  </si>
  <si>
    <t>3084</t>
  </si>
  <si>
    <t>3084 - Gummi und verschiedene Plastikprodukte - Plastikröhren</t>
  </si>
  <si>
    <t>3085</t>
  </si>
  <si>
    <t>3085 - Gummi und verschiedene Plastikprodukte - Plastikflaschen</t>
  </si>
  <si>
    <t>3086</t>
  </si>
  <si>
    <t>3086 - Gummi und verschiedene Plastikprodukte - Schaumstoffprodukte</t>
  </si>
  <si>
    <t>3087</t>
  </si>
  <si>
    <t>3087 - Gummi und verschiedene Plastikprodukte - Verarbeitung von Kunstharzmischungen</t>
  </si>
  <si>
    <t>3088</t>
  </si>
  <si>
    <t>3088 - Gummi und verschiedene Plastikprodukte - Kunststoff-Installationsmaterial</t>
  </si>
  <si>
    <t>3089</t>
  </si>
  <si>
    <t>3089 - Gummi und verschiedene Plastikprodukte - Sonstige Plastikprodukte</t>
  </si>
  <si>
    <t>3111</t>
  </si>
  <si>
    <t>3111 - Leder und Ledererzeugnisse - Ledergerberei u. -Bearbeitung, Fensterleder (Chamois)</t>
  </si>
  <si>
    <t>3131</t>
  </si>
  <si>
    <t>3131 - Leder und Ledererzeugnisse - Schuh- u. Stiefelleder (zugeschnitten), Bedarf für die Schuhindustrie</t>
  </si>
  <si>
    <t>3142</t>
  </si>
  <si>
    <t>3142 - Leder und Ledererzeugnisse - Hausschuhe</t>
  </si>
  <si>
    <t>3143</t>
  </si>
  <si>
    <t>3143 - Leder und Ledererzeugnisse - Herrenschuhe (außer Sportschuhen)</t>
  </si>
  <si>
    <t>3144</t>
  </si>
  <si>
    <t>3144 - Leder und Ledererzeugnisse - Damenschuhe, außer Sportschuhen</t>
  </si>
  <si>
    <t>3149</t>
  </si>
  <si>
    <t>3149 - Leder und Ledererzeugnisse - Sonstige Fußbekleidung, außer Gummischuhen</t>
  </si>
  <si>
    <t>3151</t>
  </si>
  <si>
    <t>3151 - Leder und Ledererzeugnisse - Lederfinger- u. -fausthandschuhe</t>
  </si>
  <si>
    <t>3161</t>
  </si>
  <si>
    <t>3161 - Leder und Ledererzeugnisse - Lederkoffer u. Reisetaschen</t>
  </si>
  <si>
    <t>3171</t>
  </si>
  <si>
    <t>3171 - Leder und Ledererzeugnisse - Damenhandtaschen u. Börsen</t>
  </si>
  <si>
    <t>3172</t>
  </si>
  <si>
    <t>3172 - Leder und Ledererzeugnisse - Leder-Gebrauchsartikel, außer Damenhandtaschen u. Börsen</t>
  </si>
  <si>
    <t>3199</t>
  </si>
  <si>
    <t>3199 - Leder und Ledererzeugnisse - Sonstige Lederwaren etc., Pferdefuttertaschen</t>
  </si>
  <si>
    <t>3211</t>
  </si>
  <si>
    <t>3211 - Stein-, Ton-, Glas- und Betonprodukte - Flachglas, Fensterglas, Bau- u. Spezialglas</t>
  </si>
  <si>
    <t>3221</t>
  </si>
  <si>
    <t>3221 - Stein-, Ton-, Glas- und Betonprodukte - Glasbehälter</t>
  </si>
  <si>
    <t>3229</t>
  </si>
  <si>
    <t>3229 - Stein-, Ton-, Glas- und Betonprodukte - Sonstiges Preßglas, geblasenes Glas, Glaswaren</t>
  </si>
  <si>
    <t>3231</t>
  </si>
  <si>
    <t>3231 - Stein-, Ton-, Glas- und Betonprodukte - Produkte aus gekauftem Glas, wissensch. Instrumente, Spiegel, Glastüren</t>
  </si>
  <si>
    <t>3241</t>
  </si>
  <si>
    <t>3241 - Stein-, Ton-, Glas- und Betonprodukte - Hydraulischer Zement, Portlandzement</t>
  </si>
  <si>
    <t>3251</t>
  </si>
  <si>
    <t>3251 - Stein-, Ton-, Glas- und Betonprodukte - Bausteine u. Bauteile aus Ton, Ziegeleierzeugnisse</t>
  </si>
  <si>
    <t>3253</t>
  </si>
  <si>
    <t>3253 - Stein-, Ton-, Glas- und Betonprodukte - Keramikwand- u. Bodenkacheln</t>
  </si>
  <si>
    <t>3255</t>
  </si>
  <si>
    <t>3255 - Stein-, Ton-, Glas- und Betonprodukte - Feuerfeste Teile aus Ton, Ziegeleierzeugnisse</t>
  </si>
  <si>
    <t>3259</t>
  </si>
  <si>
    <t>3259 - Stein-, Ton-, Glas- und Betonprodukte - Sonstige Bauteile aus Ton, Dachziegel, Schornsteine</t>
  </si>
  <si>
    <t>3261</t>
  </si>
  <si>
    <t>3261 - Stein-, Ton-, Glas- und Betonprodukte - Glasporzellan, Armaturen u. -Teile f. Badezimmereinrichtungen</t>
  </si>
  <si>
    <t>3262</t>
  </si>
  <si>
    <t>3262 - Stein-, Ton-, Glas- und Betonprodukte - Glasporzellangeschirr</t>
  </si>
  <si>
    <t>3263</t>
  </si>
  <si>
    <t>3263 - Stein-, Ton-, Glas- und Betonprodukte - Feinkeramisches Geschirr u. Küchengeräte</t>
  </si>
  <si>
    <t>3264</t>
  </si>
  <si>
    <t>3264 - Stein-, Ton-, Glas- und Betonprodukte - Elektrobedarf aus Porzellan</t>
  </si>
  <si>
    <t>3269</t>
  </si>
  <si>
    <t>3269 - Stein-, Ton-, Glas- und Betonprodukte - Sonstige Töpfereiprodukte</t>
  </si>
  <si>
    <t>3271</t>
  </si>
  <si>
    <t>3271 - Stein-, Ton-, Glas- und Betonprodukte - Betonblöcke u. Bausteine</t>
  </si>
  <si>
    <t>3272</t>
  </si>
  <si>
    <t>3272 - Stein-, Ton-, Glas- und Betonprodukte - Betonprodukte, außer Blöcken u. Steinen</t>
  </si>
  <si>
    <t>3273</t>
  </si>
  <si>
    <t>3273 - Stein-, Ton-, Glas- und Betonprodukte - Fertigbeton</t>
  </si>
  <si>
    <t>3274</t>
  </si>
  <si>
    <t>3274 - Stein-, Ton-, Glas- und Betonprodukte - Kalk</t>
  </si>
  <si>
    <t>3275</t>
  </si>
  <si>
    <t>3275 - Stein-, Ton-, Glas- und Betonprodukte - Gipsprodukte</t>
  </si>
  <si>
    <t>3281</t>
  </si>
  <si>
    <t>3281 - Stein-, Ton-, Glas- und Betonprodukte - Zugeschnittene Steine u. Steinprodukte, Kalkstein, Marmor</t>
  </si>
  <si>
    <t>3291</t>
  </si>
  <si>
    <t>3291 - Stein-, Ton-, Glas- und Betonprodukte - Schleifmittel, Bimsstein</t>
  </si>
  <si>
    <t>3292</t>
  </si>
  <si>
    <t>3292 - Stein-, Ton-, Glas- und Betonprodukte - Asbestprodukte allgem.</t>
  </si>
  <si>
    <t>3295</t>
  </si>
  <si>
    <t>3295 - Stein-, Ton-, Glas- und Betonprodukte - Mineralien u. Erden, gemahlen oder anderweitig bearbeitet, Kaolin</t>
  </si>
  <si>
    <t>3296</t>
  </si>
  <si>
    <t>3296 - Stein-, Ton-, Glas- und Betonprodukte - Schlackenwolle, akustische Täfelung</t>
  </si>
  <si>
    <t>3297</t>
  </si>
  <si>
    <t>3297 - Stein-, Ton-, Glas- und Betonprodukte - Feuerfeste Materialien (außer Ton)</t>
  </si>
  <si>
    <t>3299</t>
  </si>
  <si>
    <t>3299 - Stein-, Ton-, Glas- und Betonprodukte - Sonstige nichtmetallische Mineralprodukte</t>
  </si>
  <si>
    <t>3312</t>
  </si>
  <si>
    <t>3312 - Metallbearbeitung - Hochöfen (einschl. Kokereien), Stahl- u. Walzwerke</t>
  </si>
  <si>
    <t>3313</t>
  </si>
  <si>
    <t>3313 - Metallbearbeitung - Elektrometallurgische Produkte, Eisenlegierungen (außer Stahl)</t>
  </si>
  <si>
    <t>3315</t>
  </si>
  <si>
    <t>3315 - Metallbearbeitung - Stahldrahtzieherei, Nägel u. Spikes</t>
  </si>
  <si>
    <t>3316</t>
  </si>
  <si>
    <t>3316 - Metallbearbeitung - Kaltgewalzte Stahlbleche, Bandstahl u. Barren</t>
  </si>
  <si>
    <t>3317</t>
  </si>
  <si>
    <t>3317 - Metallbearbeitung - Stahlrohre</t>
  </si>
  <si>
    <t>3321</t>
  </si>
  <si>
    <t>3321 - Metallbearbeitung - Graugießereien</t>
  </si>
  <si>
    <t>3322</t>
  </si>
  <si>
    <t>3322 - Metallbearbeitung - Gießereien für Temperguß</t>
  </si>
  <si>
    <t>3324</t>
  </si>
  <si>
    <t>3324 - Metallbearbeitung - Investmentgießereien, Stahl-Präzisionsformguß</t>
  </si>
  <si>
    <t>3325</t>
  </si>
  <si>
    <t>3325 - Metallbearbeitung - Sonstige Stahlgießereien</t>
  </si>
  <si>
    <t>3331</t>
  </si>
  <si>
    <t>3331 - Metallbearbeitung - Schmelzen u. Läutern von Kupfer</t>
  </si>
  <si>
    <t>3334</t>
  </si>
  <si>
    <t>3334 - Metallbearbeitung - Aluminium-Erstbearbeitung</t>
  </si>
  <si>
    <t>3339</t>
  </si>
  <si>
    <t>3339 - Metallbearbeitung - Schmelzen u. Läutern von Nichteisenmetallen, außer Kupfer u. Aluminium</t>
  </si>
  <si>
    <t>3341</t>
  </si>
  <si>
    <t>3341 - Metallbearbeitung - Zweitschmelzen u. Läutern von Nichteisenmetallen</t>
  </si>
  <si>
    <t>3351</t>
  </si>
  <si>
    <t>3351 - Metallbearbeitung - Walzen, Ziehen u. Strangpressen von Kupfer</t>
  </si>
  <si>
    <t>3353</t>
  </si>
  <si>
    <t>3353 - Metallbearbeitung - Aluminiumbleche, -platten, -folien</t>
  </si>
  <si>
    <t>3354</t>
  </si>
  <si>
    <t>3354 - Metallbearbeitung - Stranggepreßte Aluminiumprodukte</t>
  </si>
  <si>
    <t>3355</t>
  </si>
  <si>
    <t>3355 - Metallbearbeitung - Sonstige Aluminiumwalz- u. Ziehwerke</t>
  </si>
  <si>
    <t>3356</t>
  </si>
  <si>
    <t>3356 - Metallbearbeitung - Walzen, Ziehen u. Strangpressen von Nichteisenmetallen</t>
  </si>
  <si>
    <t>3357</t>
  </si>
  <si>
    <t>3357 - Metallbearbeitung - Ziehen u. Isolieren von Nichteisendrähten, magnet. Draht, Kabel aller Art</t>
  </si>
  <si>
    <t>3363</t>
  </si>
  <si>
    <t>3363 - Metallbearbeitung - Aluminiumgießerei (Druckgussverfahren)</t>
  </si>
  <si>
    <t>3365</t>
  </si>
  <si>
    <t>3365 - Metallbearbeitung - Aluminiumgießerei (sonstige Herstellungsverfahren, z. B. Kokillenguss)</t>
  </si>
  <si>
    <t>3366</t>
  </si>
  <si>
    <t>3366 - Metallbearbeitung - Messing-, Bronze-, Kupferarbeiten</t>
  </si>
  <si>
    <t>3369</t>
  </si>
  <si>
    <t>3369 - Metallbearbeitung - Nichteisenmetall-Gießereien, (außer Aluminium u. Kupfer)</t>
  </si>
  <si>
    <t>3398</t>
  </si>
  <si>
    <t>3398 - Metallbearbeitung - Wärmebehandlung von Metall</t>
  </si>
  <si>
    <t>3399</t>
  </si>
  <si>
    <t>3399 - Metallbearbeitung - Sonstige Rohmetallprodukte</t>
  </si>
  <si>
    <t>3411</t>
  </si>
  <si>
    <t>3411 - Metallwaren, außer Maschinen und Transporteinrichtungen - Büchsen u. Dosen</t>
  </si>
  <si>
    <t>3412</t>
  </si>
  <si>
    <t>3412 - Metallwaren, außer Maschinen und Transporteinrichtungen - Metallfässer, -Trommeln, -Tonnen u. -Eimer, Rohre, Container</t>
  </si>
  <si>
    <t>3421</t>
  </si>
  <si>
    <t>3421 - Metallwaren, außer Maschinen und Transporteinrichtungen - Messerwaren, Naßrasierapparate, Nagelfeilen, Rasierklingen</t>
  </si>
  <si>
    <t>3423</t>
  </si>
  <si>
    <t>3423 - Metallwaren, außer Maschinen und Transporteinrichtungen - Hand- u. Schneidwerkzeuge, außer Werkzeugmaschinen u. Handsägen</t>
  </si>
  <si>
    <t>3425</t>
  </si>
  <si>
    <t>3425 - Metallwaren, außer Maschinen und Transporteinrichtungen - Handsägen u. Sägeblätter</t>
  </si>
  <si>
    <t>3429</t>
  </si>
  <si>
    <t>3429 - Metallwaren, außer Maschinen und Transporteinrichtungen - Sonstige Eisenwaren, Scharniere, Schlösser, Schlüssel usw.</t>
  </si>
  <si>
    <t>3431</t>
  </si>
  <si>
    <t>3431 - Metallwaren, außer Maschinen und Transporteinrichtungen - Emaillierte Sanitärartikel aus Eisen u. Metall</t>
  </si>
  <si>
    <t>3432</t>
  </si>
  <si>
    <t>3432 - Metallwaren, außer Maschinen und Transporteinrichtungen - Armaturen, Sprinkleranlagen (f. Rasen)</t>
  </si>
  <si>
    <t>3433</t>
  </si>
  <si>
    <t>3433 - Metallwaren, außer Maschinen und Transporteinrichtungen - Heizgeräte (außer Elektro- u. Warmluftöfen), Gasbrenner, Ölöfen</t>
  </si>
  <si>
    <t>3441</t>
  </si>
  <si>
    <t>3441 - Metallwaren, außer Maschinen und Transporteinrichtungen - Metallstrukturteile, Brückenteile, Radio- u. Fernsehtürme</t>
  </si>
  <si>
    <t>3442</t>
  </si>
  <si>
    <t>3442 - Metallwaren, außer Maschinen und Transporteinrichtungen - Metalltüren, Schiebefenster, Rahmen, Zubehör</t>
  </si>
  <si>
    <t>3443</t>
  </si>
  <si>
    <t>3443 - Metallwaren, außer Maschinen und Transporteinrichtungen - Blecharbeiten (Kesselbau), Tanklager, Kernkraftwerke, Akkumulatoren</t>
  </si>
  <si>
    <t>3444</t>
  </si>
  <si>
    <t>3444 - Metallwaren, außer Maschinen und Transporteinrichtungen - Blechverarbeitung</t>
  </si>
  <si>
    <t>3446</t>
  </si>
  <si>
    <t>3446 - Metallwaren, außer Maschinen und Transporteinrichtungen - Metallverzierungen, Architekturornamente, Bauzubehörteile aus Metall</t>
  </si>
  <si>
    <t>3448</t>
  </si>
  <si>
    <t>3448 - Metallwaren, außer Maschinen und Transporteinrichtungen - Metallfertigbauten u. Bauteile, Fertighausbau</t>
  </si>
  <si>
    <t>3449</t>
  </si>
  <si>
    <t>3449 - Metallwaren, außer Maschinen und Transporteinrichtungen - Versch. Metallbauteile</t>
  </si>
  <si>
    <t>3451</t>
  </si>
  <si>
    <t>3451 - Metallwaren, außer Maschinen und Transporteinrichtungen - Drehteile</t>
  </si>
  <si>
    <t>3452</t>
  </si>
  <si>
    <t>3452 - Metallwaren, außer Maschinen und Transporteinrichtungen - Bolzen, Nieten, Schrauben, Muttern, Federringe</t>
  </si>
  <si>
    <t>3462</t>
  </si>
  <si>
    <t>3462 - Metallwaren, außer Maschinen und Transporteinrichtungen - Schmiedestücke aus Eisen und Stahl</t>
  </si>
  <si>
    <t>3463</t>
  </si>
  <si>
    <t>3463 - Metallwaren, außer Maschinen und Transporteinrichtungen - Schmiedestücke aus Nichteisenmetallen</t>
  </si>
  <si>
    <t>3465</t>
  </si>
  <si>
    <t>3465 - Metallwaren, außer Maschinen und Transporteinrichtungen - Stanzteile für Kfz</t>
  </si>
  <si>
    <t>3466</t>
  </si>
  <si>
    <t>3466 - Metallwaren, außer Maschinen und Transporteinrichtungen - Kappen u. Verschlüsse</t>
  </si>
  <si>
    <t>3469</t>
  </si>
  <si>
    <t>3469 - Metallwaren, außer Maschinen und Transporteinrichtungen - Sonstige Metallstanzartikel, porzellanüberzogene Artikel</t>
  </si>
  <si>
    <t>3471</t>
  </si>
  <si>
    <t>3471 - Metallwaren, außer Maschinen und Transporteinrichtungen - Galvanisieren, Verchromen, Polieren, Eloxieren, Kolorieren von Metall</t>
  </si>
  <si>
    <t>3479</t>
  </si>
  <si>
    <t>3479 - Metallwaren, außer Maschinen und Transporteinrichtungen - Oberflächenbearbeitung, Gravuren u. verwandte Arbeiten</t>
  </si>
  <si>
    <t>3482</t>
  </si>
  <si>
    <t>3482 - Metallwaren, außer Maschinen und Transporteinrichtungen - Munition, für Handfeuerwaffen</t>
  </si>
  <si>
    <t>3483</t>
  </si>
  <si>
    <t>3483 - Metallwaren, außer Maschinen und Transporteinrichtungen - Munition, außer für Handfeuerwaffen</t>
  </si>
  <si>
    <t>3484</t>
  </si>
  <si>
    <t>3484 - Metallwaren, außer Maschinen und Transporteinrichtungen - Handfeuerwaffen</t>
  </si>
  <si>
    <t>3489</t>
  </si>
  <si>
    <t>3489 - Metallwaren, außer Maschinen und Transporteinrichtungen - Sonstige Waffen u. Zubehör</t>
  </si>
  <si>
    <t>3491</t>
  </si>
  <si>
    <t>3491 - Metallwaren, außer Maschinen und Transporteinrichtungen - Industrie-Ventile</t>
  </si>
  <si>
    <t>3492</t>
  </si>
  <si>
    <t>3492 - Metallwaren, außer Maschinen und Transporteinrichtungen - Hydraulische Ventile, Schlauchfittings</t>
  </si>
  <si>
    <t>3493</t>
  </si>
  <si>
    <t>3493 - Metallwaren, außer Maschinen und Transporteinrichtungen - Stahlsprungfedern, außer Draht, Spiralfedern</t>
  </si>
  <si>
    <t>3494</t>
  </si>
  <si>
    <t>3494 - Metallwaren, außer Maschinen und Transporteinrichtungen - Sonstige Ventile u. Rohranschlußstücke</t>
  </si>
  <si>
    <t>3495</t>
  </si>
  <si>
    <t>3495 - Metallwaren, außer Maschinen und Transporteinrichtungen - Drahtsprungfedern</t>
  </si>
  <si>
    <t>3496</t>
  </si>
  <si>
    <t>3496 - Metallwaren, außer Maschinen und Transporteinrichtungen - Sonstige Drahtprodukte, Heftgeräte u. Heftklammern, Dosenöffner</t>
  </si>
  <si>
    <t>3497</t>
  </si>
  <si>
    <t>3497 - Metallwaren, außer Maschinen und Transporteinrichtungen - Metallfolien</t>
  </si>
  <si>
    <t>3498</t>
  </si>
  <si>
    <t>3498 - Metallwaren, außer Maschinen und Transporteinrichtungen - Fertigrohre u. Fittings</t>
  </si>
  <si>
    <t>3499</t>
  </si>
  <si>
    <t>3499 - Metallwaren, außer Maschinen und Transporteinrichtungen - Sonstige Metallwaren, Sicherheitsschlösser</t>
  </si>
  <si>
    <t>3511</t>
  </si>
  <si>
    <t>3511 - Maschinenbau und Computer - Turbinen- und Turbinengeneratorgruppen</t>
  </si>
  <si>
    <t>3519</t>
  </si>
  <si>
    <t>3519 - Maschinenbau und Computer - Sonstige Verbrennungsmotoren</t>
  </si>
  <si>
    <t>3523</t>
  </si>
  <si>
    <t>3523 - Maschinenbau und Computer - Landmaschinen u. -Ausrüstung</t>
  </si>
  <si>
    <t>3524</t>
  </si>
  <si>
    <t>3524 - Maschinenbau und Computer - Gartentraktoren, Rasen- u. Gartengeräte</t>
  </si>
  <si>
    <t>3531</t>
  </si>
  <si>
    <t>3531 - Maschinenbau und Computer - Baumaschinen u. Ausrüstung, Planierraupen, Kräne, Mischmaschinen, Walzen, Traktoren usw.</t>
  </si>
  <si>
    <t>3532</t>
  </si>
  <si>
    <t>3532 - Maschinenbau und Computer - Bergbaumaschinen u. Ausrüstung, außer Öl- u. Gasbohrmaschinen</t>
  </si>
  <si>
    <t>3533</t>
  </si>
  <si>
    <t>3533 - Maschinenbau und Computer - Öl- u. Gasbohrmaschinen u. Ausrüstung</t>
  </si>
  <si>
    <t>3534</t>
  </si>
  <si>
    <t>3534 - Maschinenbau und Computer - Aufzüge, Roll- und Fahrtreppen</t>
  </si>
  <si>
    <t>3535</t>
  </si>
  <si>
    <t>3535 - Maschinenbau und Computer - Fördergeräte u. Zubehör, Förderbänder</t>
  </si>
  <si>
    <t>3536</t>
  </si>
  <si>
    <t>3536 - Maschinenbau und Computer - Hebezeuge, Industriekräne u. Einschienensysteme, Flaschenzüge</t>
  </si>
  <si>
    <t>3537</t>
  </si>
  <si>
    <t>3537 - Maschinenbau und Computer - Industrielastkraftwagen, Traktoren, Anhänger u. Stapler</t>
  </si>
  <si>
    <t>3541</t>
  </si>
  <si>
    <t>3541 - Maschinenbau und Computer - Werkzeugmaschinen für die spanabhebende Metallbearbeitung</t>
  </si>
  <si>
    <t>3542</t>
  </si>
  <si>
    <t>3542 - Maschinenbau und Computer - Werkzeugmaschinen zur Metallformung</t>
  </si>
  <si>
    <t>3543</t>
  </si>
  <si>
    <t>3543 - Maschinenbau und Computer - Industriemuster</t>
  </si>
  <si>
    <t>3544</t>
  </si>
  <si>
    <t>3544 - Maschinenbau und Computer - Spezialprägestempel u. Stanzstempel, Werkzeuge</t>
  </si>
  <si>
    <t>3545</t>
  </si>
  <si>
    <t>3545 - Maschinenbau und Computer - Werkzeugmaschinenzubehör u. Meßeinrichtungen, Diamantschneidegeräte</t>
  </si>
  <si>
    <t>3546</t>
  </si>
  <si>
    <t>3546 - Maschinenbau und Computer - Handwerkzeuge mit Hilfsantrieb, Preßlufthämmer, Schleifmaschinen</t>
  </si>
  <si>
    <t>3547</t>
  </si>
  <si>
    <t>3547 - Maschinenbau und Computer - Walzwerksmaschinen</t>
  </si>
  <si>
    <t>3548</t>
  </si>
  <si>
    <t>3548 - Maschinenbau und Computer - Elektro- u. Gasschweiß- u. Lötgeräte</t>
  </si>
  <si>
    <t>3549</t>
  </si>
  <si>
    <t>3549 - Maschinenbau und Computer - Sonstige Metallbearbeitungsmaschinen, Brennschneidemaschinen</t>
  </si>
  <si>
    <t>3552</t>
  </si>
  <si>
    <t>3552 - Maschinenbau und Computer - Textilmaschinen</t>
  </si>
  <si>
    <t>3553</t>
  </si>
  <si>
    <t>3553 - Maschinenbau und Computer - Holzbearbeitungsmaschinen</t>
  </si>
  <si>
    <t>3554</t>
  </si>
  <si>
    <t>3554 - Maschinenbau und Computer - Maschinen für die Papierindustrie</t>
  </si>
  <si>
    <t>3555</t>
  </si>
  <si>
    <t>3555 - Maschinenbau und Computer - Druckereimaschinen u. Zubehör</t>
  </si>
  <si>
    <t>3556</t>
  </si>
  <si>
    <t>3556 - Maschinenbau und Computer - Maschinen für die Lebensmittelindustrie</t>
  </si>
  <si>
    <t>3559</t>
  </si>
  <si>
    <t>3559 - Maschinenbau und Computer - Sonstige Industrie-Spezialmaschinen</t>
  </si>
  <si>
    <t>3561</t>
  </si>
  <si>
    <t>3561 - Maschinenbau und Computer - Pumpen u. Zubehör</t>
  </si>
  <si>
    <t>3562</t>
  </si>
  <si>
    <t>3562 - Maschinenbau und Computer - Kugel- u. Rollenlager</t>
  </si>
  <si>
    <t>3563</t>
  </si>
  <si>
    <t>3563 - Maschinenbau und Computer - Luft- u. Gaskompressoren, Farbspritzanlagen u. -pistolen</t>
  </si>
  <si>
    <t>3564</t>
  </si>
  <si>
    <t>3564 - Maschinenbau und Computer - Gebläse, Ventilatoren, Luftreiniger</t>
  </si>
  <si>
    <t>3565</t>
  </si>
  <si>
    <t>3565 - Maschinenbau und Computer - Verpackungsmaschinen</t>
  </si>
  <si>
    <t>3566</t>
  </si>
  <si>
    <t>3566 - Maschinenbau und Computer - Gangschaltungen, Getriebe, industrielle Hochleistungsgetriebe</t>
  </si>
  <si>
    <t>3567</t>
  </si>
  <si>
    <t>3567 - Maschinenbau und Computer - Industrieöfen</t>
  </si>
  <si>
    <t>3568</t>
  </si>
  <si>
    <t>3568 - Maschinenbau und Computer - Mechanische Kraftübertragungsgeräte, Kupplungen</t>
  </si>
  <si>
    <t>3569</t>
  </si>
  <si>
    <t>3569 - Maschinenbau und Computer - Sonstige Industriemaschinen u. Ausrüstung etc., Schmieranlagen</t>
  </si>
  <si>
    <t>3571</t>
  </si>
  <si>
    <t>3571 - Maschinenbau und Computer - Computer</t>
  </si>
  <si>
    <t>3572</t>
  </si>
  <si>
    <t>3572 - Maschinenbau und Computer - Datenspeichergeräte</t>
  </si>
  <si>
    <t>3575</t>
  </si>
  <si>
    <t>3575 - Maschinenbau und Computer - Computer Terminals</t>
  </si>
  <si>
    <t>3577</t>
  </si>
  <si>
    <t>3577 - Maschinenbau und Computer - Computer-Zubehör</t>
  </si>
  <si>
    <t>3578</t>
  </si>
  <si>
    <t>3578 - Maschinenbau und Computer - Rechenmaschinen, nicht elektronisch</t>
  </si>
  <si>
    <t>3579</t>
  </si>
  <si>
    <t>3579 - Maschinenbau und Computer - Sonstige Büromaschinen, Frankiermaschinen etc.</t>
  </si>
  <si>
    <t>3581</t>
  </si>
  <si>
    <t>3581 - Maschinenbau und Computer - Verkaufsautomaten</t>
  </si>
  <si>
    <t>3582</t>
  </si>
  <si>
    <t>3582 - Maschinenbau und Computer - Großwaschmaschinen, Reinigungs- u. Bügelmaschinen</t>
  </si>
  <si>
    <t>3585</t>
  </si>
  <si>
    <t>3585 - Maschinenbau und Computer - Klimaanlagen, Warmwasserheizungen, industrielle Kühleinrichtungen</t>
  </si>
  <si>
    <t>3586</t>
  </si>
  <si>
    <t>3586 - Maschinenbau und Computer - Ansaug- u. Zapfeinrichtungen</t>
  </si>
  <si>
    <t>3589</t>
  </si>
  <si>
    <t>3589 - Maschinenbau und Computer - Sonstige Maschinen f. Dienstleistungsbetriebe, Autowaschanlagen</t>
  </si>
  <si>
    <t>3592</t>
  </si>
  <si>
    <t>3592 - Maschinenbau und Computer - Vergaser, Kolben, Kolbenringe u. Ventile</t>
  </si>
  <si>
    <t>3593</t>
  </si>
  <si>
    <t>3593 - Maschinenbau und Computer - Zylinder, Stellantriebe</t>
  </si>
  <si>
    <t>3594</t>
  </si>
  <si>
    <t>3594 - Maschinenbau und Computer - Hydraulische Pumpen u. Motoren</t>
  </si>
  <si>
    <t>3596</t>
  </si>
  <si>
    <t>3596 - Maschinenbau und Computer - Waagen, außer Laborwaagen</t>
  </si>
  <si>
    <t>3599</t>
  </si>
  <si>
    <t>3599 - Maschinenbau und Computer - Sonstige Maschinen</t>
  </si>
  <si>
    <t>3612</t>
  </si>
  <si>
    <t>3612 - Elektrische und elektronische Maschinen u. Apparate u. Zubehör - Stromtransformatoren, Verteiler, Spezialumformer, elektr. Apparate</t>
  </si>
  <si>
    <t>3613</t>
  </si>
  <si>
    <t>3613 - Elektrische und elektronische Maschinen u. Apparate u. Zubehör - Schaltgeräte u. Schalttafeln</t>
  </si>
  <si>
    <t>3621</t>
  </si>
  <si>
    <t>3621 - Elektrische und elektronische Maschinen u. Apparate u. Zubehör - Motoren u. Generatoren</t>
  </si>
  <si>
    <t>3624</t>
  </si>
  <si>
    <t>3624 - Elektrische und elektronische Maschinen u. Apparate u. Zubehör - Kohle- u. Graphitprodukte</t>
  </si>
  <si>
    <t>3625</t>
  </si>
  <si>
    <t>3625 - Elektrische und elektronische Maschinen u. Apparate u. Zubehör - Relais, Regler</t>
  </si>
  <si>
    <t>3629</t>
  </si>
  <si>
    <t>3629 - Elektrische und elektronische Maschinen u. Apparate u. Zubehör - Sonstige Elektr. Apparate f. d. Industrie</t>
  </si>
  <si>
    <t>3631</t>
  </si>
  <si>
    <t>3631 - Elektrische und elektronische Maschinen u. Apparate u. Zubehör - Haushaltsherde u. Kochgeräte</t>
  </si>
  <si>
    <t>3632</t>
  </si>
  <si>
    <t>3632 - Elektrische und elektronische Maschinen u. Apparate u. Zubehör - Haushaltskühlschränke u. Gefriereinrichtungen für Haushalt u. Landw.</t>
  </si>
  <si>
    <t>3633</t>
  </si>
  <si>
    <t>3633 - Elektrische und elektronische Maschinen u. Apparate u. Zubehör - Haushaltswaschmaschinen, Trockenschleudern</t>
  </si>
  <si>
    <t>3634</t>
  </si>
  <si>
    <t>3634 - Elektrische und elektronische Maschinen u. Apparate u. Zubehör - Elektr. Haushaltsgeräte u. Ventilatoren</t>
  </si>
  <si>
    <t>3635</t>
  </si>
  <si>
    <t>3635 - Elektrische und elektronische Maschinen u. Apparate u. Zubehör - Haushalts-Staubsauger</t>
  </si>
  <si>
    <t>3639</t>
  </si>
  <si>
    <t>3639 - Elektrische und elektronische Maschinen u. Apparate u. Zubehör - Sonstige Haushaltsgeräte</t>
  </si>
  <si>
    <t>3641</t>
  </si>
  <si>
    <t>3641 - Elektrische und elektronische Maschinen u. Apparate u. Zubehör - Glühbirnen u. Leuchtröhren</t>
  </si>
  <si>
    <t>3643</t>
  </si>
  <si>
    <t>3643 - Elektrische und elektronische Maschinen u. Apparate u. Zubehör - Elektr. Leitungen, elektr. Kontakte, Leitungszubehör</t>
  </si>
  <si>
    <t>3644</t>
  </si>
  <si>
    <t>3644 - Elektrische und elektronische Maschinen u. Apparate u. Zubehör - Stromlose Leitungen u. Zubehör</t>
  </si>
  <si>
    <t>3645</t>
  </si>
  <si>
    <t>3645 - Elektrische und elektronische Maschinen u. Apparate u. Zubehör - Elektr. Anlagen für Wohnhäuser, Lampen</t>
  </si>
  <si>
    <t>3646</t>
  </si>
  <si>
    <t>3646 - Elektrische und elektronische Maschinen u. Apparate u. Zubehör - Gewerbliche und sonstige Beleuchtungsanlagen</t>
  </si>
  <si>
    <t>3647</t>
  </si>
  <si>
    <t>3647 - Elektrische und elektronische Maschinen u. Apparate u. Zubehör - Elektr. Anlagen für Fahrzeuge</t>
  </si>
  <si>
    <t>3648</t>
  </si>
  <si>
    <t>3648 - Elektrische und elektronische Maschinen u. Apparate u. Zubehör - Sonstige Beleuchtungseinrichtungen</t>
  </si>
  <si>
    <t>3651</t>
  </si>
  <si>
    <t>3651 - Elektrische und elektronische Maschinen u. Apparate u. Zubehör - Haushalts-, Audio- u. Videogeräte</t>
  </si>
  <si>
    <t>3652</t>
  </si>
  <si>
    <t>3652 - Elektrische und elektronische Maschinen u. Apparate u. Zubehör - Schallplatten, bespielte Tonbänder u. Kassetten</t>
  </si>
  <si>
    <t>3661</t>
  </si>
  <si>
    <t>3661 - Elektrische und elektronische Maschinen u. Apparate u. Zubehör - Telefon- u. Telegrafenapparate, Fernschreiber</t>
  </si>
  <si>
    <t>3663</t>
  </si>
  <si>
    <t>3663 - Elektrische und elektronische Maschinen u. Apparate u. Zubehör - Radio- u. Fernseh-Sende- und -Empfangsgeräte</t>
  </si>
  <si>
    <t>3669</t>
  </si>
  <si>
    <t>3669 - Elektrische und elektronische Maschinen u. Apparate u. Zubehör - Sonstige Kommunikations-, Warn- u. Signalanlagen</t>
  </si>
  <si>
    <t>3671</t>
  </si>
  <si>
    <t>3671 - Elektrische und elektronische Maschinen u. Apparate u. Zubehör - Elektronenröhren</t>
  </si>
  <si>
    <t>3672</t>
  </si>
  <si>
    <t>3672 - Elektrische und elektronische Maschinen u. Apparate u. Zubehör - Gedruckte Schaltkreise</t>
  </si>
  <si>
    <t>3674</t>
  </si>
  <si>
    <t>3674 - Elektrische und elektronische Maschinen u. Apparate u. Zubehör - Halbleiter u. verwandte Artikel</t>
  </si>
  <si>
    <t>3675</t>
  </si>
  <si>
    <t>3675 - Elektrische und elektronische Maschinen u. Apparate u. Zubehör - Elektronische Kondensatoren</t>
  </si>
  <si>
    <t>3676</t>
  </si>
  <si>
    <t>3676 - Elektrische und elektronische Maschinen u. Apparate u. Zubehör - Elektr. Widerstände</t>
  </si>
  <si>
    <t>3677</t>
  </si>
  <si>
    <t>3677 - Elektrische und elektronische Maschinen u. Apparate u. Zubehör - Elektronische Wicklungen, Transformatoren u. andere Induktionsspulen</t>
  </si>
  <si>
    <t>3678</t>
  </si>
  <si>
    <t>3678 - Elektrische und elektronische Maschinen u. Apparate u. Zubehör - Elektr. Anschlußteile</t>
  </si>
  <si>
    <t>3679</t>
  </si>
  <si>
    <t>3679 - Elektrische und elektronische Maschinen u. Apparate u. Zubehör - Sonstige elektron. Bauteile</t>
  </si>
  <si>
    <t>3691</t>
  </si>
  <si>
    <t>3691 - Elektrische und elektronische Maschinen u. Apparate u. Zubehör - Speicherbatterien</t>
  </si>
  <si>
    <t>3692</t>
  </si>
  <si>
    <t>3692 - Elektrische und elektronische Maschinen u. Apparate u. Zubehör - Batterien, Primärbatterien, naß u. trocken</t>
  </si>
  <si>
    <t>3694</t>
  </si>
  <si>
    <t>3694 - Elektrische und elektronische Maschinen u. Apparate u. Zubehör - Elektrische Ausrüstung für Verbrennungsmotoren</t>
  </si>
  <si>
    <t>3695</t>
  </si>
  <si>
    <t>3695 - Elektrische und elektronische Maschinen u. Apparate u. Zubehör - Magnetische u. optische Speichermedien</t>
  </si>
  <si>
    <t>3699</t>
  </si>
  <si>
    <t>3699 - Elektrische und elektronische Maschinen u. Apparate u. Zubehör - Sonstige Elektromaschinen, elektrische Einrichtungen u. Anlagen</t>
  </si>
  <si>
    <t>3711</t>
  </si>
  <si>
    <t>3711 - Transporteinrichtungen - Kfz, Kfz-Karosserien</t>
  </si>
  <si>
    <t>3713</t>
  </si>
  <si>
    <t>3713 - Transporteinrichtungen - Omnibus- u. Lkw-Karosserien</t>
  </si>
  <si>
    <t>3714</t>
  </si>
  <si>
    <t>3714 - Transporteinrichtungen - Kfz.-Zubehör u. Ersatzteile, Einzelteile</t>
  </si>
  <si>
    <t>3715</t>
  </si>
  <si>
    <t>3715 - Transporteinrichtungen - Lkw-Anhänger</t>
  </si>
  <si>
    <t>3716</t>
  </si>
  <si>
    <t>3716 - Transporteinrichtungen - Wohnmobile</t>
  </si>
  <si>
    <t>3721</t>
  </si>
  <si>
    <t>3721 - Transporteinrichtungen - Flugzeuge</t>
  </si>
  <si>
    <t>3724</t>
  </si>
  <si>
    <t>3724 - Transporteinrichtungen - Flugzeugmotoren u. Motorenteile</t>
  </si>
  <si>
    <t>3728</t>
  </si>
  <si>
    <t>3728 - Transporteinrichtungen - Sonstige Flugzeugteile u. Hilfseinrichtungen</t>
  </si>
  <si>
    <t>3731</t>
  </si>
  <si>
    <t>3731 - Transporteinrichtungen - Schiffsbau u. Reparatur</t>
  </si>
  <si>
    <t>3732</t>
  </si>
  <si>
    <t>3732 - Transporteinrichtungen - Bootsbau u. -reparatur</t>
  </si>
  <si>
    <t>3743</t>
  </si>
  <si>
    <t>3743 - Transporteinrichtungen - Eisenbahnausrüstung</t>
  </si>
  <si>
    <t>3751</t>
  </si>
  <si>
    <t>3751 - Transporteinrichtungen - Motorräder, Fahrräder u. Motorrad- u. Fahrradteile</t>
  </si>
  <si>
    <t>3761</t>
  </si>
  <si>
    <t>3761 - Transporteinrichtungen - Raketen, Raumfahrzeuge, Lenkraketen</t>
  </si>
  <si>
    <t>3764</t>
  </si>
  <si>
    <t>3764 - Transporteinrichtungen - Raketen u. Raumfahrtantriebseinheiten u. -teile</t>
  </si>
  <si>
    <t>3769</t>
  </si>
  <si>
    <t>3769 - Transporteinrichtungen - Sonstige Raketen, Raumfahrzeugteile u. Hilfseinrichtungen</t>
  </si>
  <si>
    <t>3792</t>
  </si>
  <si>
    <t>3792 - Transporteinrichtungen - Wohnwagen u. -anhänger, Caravans usw.</t>
  </si>
  <si>
    <t>3795</t>
  </si>
  <si>
    <t>3795 - Transporteinrichtungen - Panzerfahrzeuge u. -Fahrzeugteile</t>
  </si>
  <si>
    <t>3799</t>
  </si>
  <si>
    <t>3799 - Transporteinrichtungen - Sonstige Transporteinrichtungen</t>
  </si>
  <si>
    <t>3812</t>
  </si>
  <si>
    <t>3812 - Meß-, Prüf- und Kontrollinstrumente - Navigations- u. Suchgeräte</t>
  </si>
  <si>
    <t>3821</t>
  </si>
  <si>
    <t>3821 - Meß-, Prüf- und Kontrollinstrumente - Laborgeräte u. -Einrichtungen</t>
  </si>
  <si>
    <t>3822</t>
  </si>
  <si>
    <t>3822 - Meß-, Prüf- und Kontrollinstrumente - Automatische Meß- u. Regelgeräte</t>
  </si>
  <si>
    <t>3823</t>
  </si>
  <si>
    <t>3823 - Meß-, Prüf- und Kontrollinstrumente - Meßinstrumente für industrielle Zwecke, Manometer, Thermometer</t>
  </si>
  <si>
    <t>3824</t>
  </si>
  <si>
    <t>3824 - Meß-, Prüf- und Kontrollinstrumente - Flüssigkeitszähler u. Zählwerke</t>
  </si>
  <si>
    <t>3825</t>
  </si>
  <si>
    <t>3825 - Meß-, Prüf- und Kontrollinstrumente - Meß- u. Prüfgeräte für Elektrotechnik</t>
  </si>
  <si>
    <t>3826</t>
  </si>
  <si>
    <t>3826 - Meß-, Prüf- und Kontrollinstrumente - Labor-Analysegeräte</t>
  </si>
  <si>
    <t>3827</t>
  </si>
  <si>
    <t>3827 - Meß-, Prüf- und Kontrollinstrumente - Optische Instrumente u. Linsen</t>
  </si>
  <si>
    <t>3829</t>
  </si>
  <si>
    <t>3829 - Meß-, Prüf- und Kontrollinstrumente - Sonstige Meß- u. Regelgeräte</t>
  </si>
  <si>
    <t>3841</t>
  </si>
  <si>
    <t>3841 - Meß-, Prüf- und Kontrollinstrumente - Chirurgische u. medizinische Instrumente u. Apparate</t>
  </si>
  <si>
    <t>3842</t>
  </si>
  <si>
    <t>3842 - Meß-, Prüf- und Kontrollinstrumente - Orthopädische u. medizinische Hilfsmittel u. Instrumente</t>
  </si>
  <si>
    <t>3843</t>
  </si>
  <si>
    <t>3843 - Meß-, Prüf- und Kontrollinstrumente - Zahntechnische Geräte u. Materialien</t>
  </si>
  <si>
    <t>3844</t>
  </si>
  <si>
    <t>3844 - Meß-, Prüf- und Kontrollinstrumente - Röntgenapparate u. -röhren</t>
  </si>
  <si>
    <t>3845</t>
  </si>
  <si>
    <t>3845 - Meß-, Prüf- und Kontrollinstrumente - Elektrische Diagnose- u. Therapiegeräte</t>
  </si>
  <si>
    <t>3851</t>
  </si>
  <si>
    <t>3851 - Meß-, Prüf- und Kontrollinstrumente - Augenoptische Artikel, Brillen</t>
  </si>
  <si>
    <t>3861</t>
  </si>
  <si>
    <t>3861 - Meß-, Prüf- und Kontrollinstrumente - Fotografische Ausrüstung, Microfilm, Fotokopiermaschinen</t>
  </si>
  <si>
    <t>3873</t>
  </si>
  <si>
    <t>3873 - Meß-, Prüf- und Kontrollinstrumente - Uhren, Zähler (Apparate mit Uhrwerk) usw.</t>
  </si>
  <si>
    <t>3911</t>
  </si>
  <si>
    <t>3911 - Verschiedene Hersteller-Industrien - Schmuck, Verzierungen aus Edelmetallen u. Edelsteinen</t>
  </si>
  <si>
    <t>3914</t>
  </si>
  <si>
    <t>3914 - Verschiedene Hersteller-Industrien - Silberwaren, versilberte Artikel, Artikel aus rostfreiem Stahl, Bestecke</t>
  </si>
  <si>
    <t>3915</t>
  </si>
  <si>
    <t>3915 - Verschiedene Hersteller-Industrien - Juwelierbedarf u. -Material, Edelsteinbearbeitung</t>
  </si>
  <si>
    <t>3931</t>
  </si>
  <si>
    <t>3931 - Verschiedene Hersteller-Industrien - Musikinstrumente</t>
  </si>
  <si>
    <t>3942</t>
  </si>
  <si>
    <t>3942 - Verschiedene Hersteller-Industrien - Puppen, Plüschtiere</t>
  </si>
  <si>
    <t>3944</t>
  </si>
  <si>
    <t>3944 - Verschiedene Hersteller-Industrien - Spiele, Spielwaren, Kinderfahrzeuge, Eisenbahnen</t>
  </si>
  <si>
    <t>3949</t>
  </si>
  <si>
    <t>3949 - Verschiedene Hersteller-Industrien - Sonstige Sportartikel, Sporthandschuhe, Kegelbahnen, Schießanlagen</t>
  </si>
  <si>
    <t>3951</t>
  </si>
  <si>
    <t>3951 - Verschiedene Hersteller-Industrien - Federhalter, Drehbleistifte u. -Teile</t>
  </si>
  <si>
    <t>3952</t>
  </si>
  <si>
    <t>3952 - Verschiedene Hersteller-Industrien - Blei- u. Farbstifte, Künstlerbedarf</t>
  </si>
  <si>
    <t>3953</t>
  </si>
  <si>
    <t>3953 - Verschiedene Hersteller-Industrien - Markierungseinrichtungen</t>
  </si>
  <si>
    <t>3955</t>
  </si>
  <si>
    <t>3955 - Verschiedene Hersteller-Industrien - Kohlepapier u. Farbbänder</t>
  </si>
  <si>
    <t>3961</t>
  </si>
  <si>
    <t>3961 - Verschiedene Hersteller-Industrien - Modeschmuck</t>
  </si>
  <si>
    <t>3965</t>
  </si>
  <si>
    <t>3965 - Verschiedene Hersteller-Industrien - Kurzwaren</t>
  </si>
  <si>
    <t>3991</t>
  </si>
  <si>
    <t>3991 - Verschiedene Hersteller-Industrien - Besen u. Bürsten, Zahnbürsten</t>
  </si>
  <si>
    <t>3993</t>
  </si>
  <si>
    <t>3993 - Verschiedene Hersteller-Industrien - Schilder u. Werbematerialien, Dekorationen, Leuchtschirme</t>
  </si>
  <si>
    <t>3995</t>
  </si>
  <si>
    <t>3995 - Verschiedene Hersteller-Industrien - Särge</t>
  </si>
  <si>
    <t>3996</t>
  </si>
  <si>
    <t>3996 - Verschiedene Hersteller-Industrien - Linoleum u. andere Hartbodenbeläge</t>
  </si>
  <si>
    <t>3999</t>
  </si>
  <si>
    <t>3999 - Verschiedene Hersteller-Industrien - Sonstige Hersteller: Gartenschirme, Feuerzeuge, Kerzen, Perücken, Bandmaße</t>
  </si>
  <si>
    <t>4011</t>
  </si>
  <si>
    <t>4011 - Bahntransporte - Eisenbahnlinien, Güterverkehr</t>
  </si>
  <si>
    <t>4013</t>
  </si>
  <si>
    <t>4013 - Bahntransporte - Betrieb von Umschlag-, Endfrachtstationen u. Rangierbahnhöfen</t>
  </si>
  <si>
    <t>4111</t>
  </si>
  <si>
    <t>4111 - Orts- und Vorortverkehr, Straßen-Passagiertransporte - Öffentl. Nahverkehr, Straßen, U- u. S-Bahnen, Busse</t>
  </si>
  <si>
    <t>4119</t>
  </si>
  <si>
    <t>4119 - Orts- und Vorortverkehr, Straßen-Passagiertransporte - Sonstiger öffentl. Nahverkehr</t>
  </si>
  <si>
    <t>4121</t>
  </si>
  <si>
    <t>4121 - Orts- und Vorortverkehr, Straßen-Passagiertransporte - Taxibetriebe</t>
  </si>
  <si>
    <t>4131</t>
  </si>
  <si>
    <t>4131 - Orts- und Vorortverkehr, Straßen-Passagiertransporte - Intercity-Buslinien, Überlandverkehrsbetriebe</t>
  </si>
  <si>
    <t>4141</t>
  </si>
  <si>
    <t>4141 - Orts- und Vorortverkehr, Straßen-Passagiertransporte - Organisation von Busreisen bzw. Vermietung von Bussen für Kurzreisen</t>
  </si>
  <si>
    <t>4142</t>
  </si>
  <si>
    <t>4142 - Orts- und Vorortverkehr, Straßen-Passagiertransporte - Organisation von Busreisen bzw. Vermietung von Bussen für Langstrecken</t>
  </si>
  <si>
    <t>4151</t>
  </si>
  <si>
    <t>4151 - Orts- und Vorortverkehr, Straßen-Passagiertransporte - Schulbusse</t>
  </si>
  <si>
    <t>4173</t>
  </si>
  <si>
    <t>4173 - Orts- und Vorortverkehr, Straßen-Passagiertransporte - Terminalbetriebe für Busverkehr</t>
  </si>
  <si>
    <t>4212</t>
  </si>
  <si>
    <t>4212 - Straßentransporte und Lagerung - Straßengüternahverkehr ohne Lagerung</t>
  </si>
  <si>
    <t>4213</t>
  </si>
  <si>
    <t>4213 - Straßentransporte und Lagerung - Straßengüterfernverkehr</t>
  </si>
  <si>
    <t>4214</t>
  </si>
  <si>
    <t>4214 - Straßentransporte und Lagerung - Straßengüternahverkehr mit Lagerung</t>
  </si>
  <si>
    <t>4215</t>
  </si>
  <si>
    <t>4215 - Straßentransporte und Lagerung - Kurierdienste (außer Luft-)</t>
  </si>
  <si>
    <t>4221</t>
  </si>
  <si>
    <t>4221 - Straßentransporte und Lagerung - Lagerung u. Speicherung von landw. Produkten</t>
  </si>
  <si>
    <t>4222</t>
  </si>
  <si>
    <t>4222 - Straßentransporte und Lagerung - Kühlhäuser</t>
  </si>
  <si>
    <t>4225</t>
  </si>
  <si>
    <t>4225 - Straßentransporte und Lagerung - Allgemeine Lagerung u. Speicherung</t>
  </si>
  <si>
    <t>4226</t>
  </si>
  <si>
    <t>4226 - Straßentransporte und Lagerung - Speziallager</t>
  </si>
  <si>
    <t>4231</t>
  </si>
  <si>
    <t>4231 - Straßentransporte und Lagerung - Terminalbetriebe mit Wartung f. Speditionsfahrzeuge</t>
  </si>
  <si>
    <t>4311</t>
  </si>
  <si>
    <t>4311 - Postdienst - Postdienst</t>
  </si>
  <si>
    <t>4412</t>
  </si>
  <si>
    <t>4412 - Schifffahrt, Wassertransporte - Hochsee-Frachtschifffahrt</t>
  </si>
  <si>
    <t>4424</t>
  </si>
  <si>
    <t>4424 - Schifffahrt, Wassertransporte - Hochseefrachtschifffahrt Inland</t>
  </si>
  <si>
    <t>4432</t>
  </si>
  <si>
    <t>4432 - Schifffahrt, Wassertransporte - Great Lakes St.Lawrence-Seeschifffahrt</t>
  </si>
  <si>
    <t>4449</t>
  </si>
  <si>
    <t>4449 - Schifffahrt, Wassertransporte - Sonstige Frachschifffahrt</t>
  </si>
  <si>
    <t>4481</t>
  </si>
  <si>
    <t>4481 - Schifffahrt, Wassertransporte - Hochsee-Passagierschifffahrt</t>
  </si>
  <si>
    <t>4482</t>
  </si>
  <si>
    <t>4482 - Schifffahrt, Wassertransporte - Fähren</t>
  </si>
  <si>
    <t>4489</t>
  </si>
  <si>
    <t>4489 - Schifffahrt, Wassertransporte - Sonstige Passagierschifffahrt</t>
  </si>
  <si>
    <t>4491</t>
  </si>
  <si>
    <t>4491 - Schifffahrt, Wassertransporte - Seefrachtumschlag</t>
  </si>
  <si>
    <t>4492</t>
  </si>
  <si>
    <t>4492 - Schifffahrt, Wassertransporte - Lotsen- u. Schleppdienste</t>
  </si>
  <si>
    <t>4493</t>
  </si>
  <si>
    <t>4493 - Schifffahrt, Wassertransporte - Bootsvermietung u. -reparatur, Hafenlotsen usw.</t>
  </si>
  <si>
    <t>4499</t>
  </si>
  <si>
    <t>4499 - Schifffahrt, Wassertransporte - Sonstige Schifffahrtdienste</t>
  </si>
  <si>
    <t>4512</t>
  </si>
  <si>
    <t>4512 - Lufttransporte - Linienluftverkehr</t>
  </si>
  <si>
    <t>4513</t>
  </si>
  <si>
    <t>4513 - Lufttransporte - Luftkurierdienste</t>
  </si>
  <si>
    <t>4522</t>
  </si>
  <si>
    <t>4522 - Lufttransporte - Außerplanmäßiger Luftverkehr</t>
  </si>
  <si>
    <t>4581</t>
  </si>
  <si>
    <t>4581 - Lufttransporte - Flughäfen u. -plätze</t>
  </si>
  <si>
    <t>4583</t>
  </si>
  <si>
    <t>4583 - Lufttransporte - Flughafen-Terminaldienst</t>
  </si>
  <si>
    <t>4612</t>
  </si>
  <si>
    <t>4612 - Pipelines, außer Erdgas - Rohöl-Pipelines</t>
  </si>
  <si>
    <t>4613</t>
  </si>
  <si>
    <t>4613 - Pipelines, außer Erdgas - Raffinerieöl-Pipelines</t>
  </si>
  <si>
    <t>4619</t>
  </si>
  <si>
    <t>4619 - Pipelines, außer Erdgas - Sonstige Pipelines</t>
  </si>
  <si>
    <t>4724</t>
  </si>
  <si>
    <t>4724 - Transportdienste - Reisebüros</t>
  </si>
  <si>
    <t>4725</t>
  </si>
  <si>
    <t>4725 - Transportdienste - Reiseveranstalter</t>
  </si>
  <si>
    <t>4729</t>
  </si>
  <si>
    <t>4729 - Transportdienste - Sonstige Passagiertransportorganisationen</t>
  </si>
  <si>
    <t>4731</t>
  </si>
  <si>
    <t>4731 - Transportdienste - Fracht- u. Cargo-Transportorganisation</t>
  </si>
  <si>
    <t>4741</t>
  </si>
  <si>
    <t>4741 - Transportdienste - Vermietung von Eisenbahnwaggons</t>
  </si>
  <si>
    <t>4783</t>
  </si>
  <si>
    <t>4783 - Transportdienste - Verpackungsdienste</t>
  </si>
  <si>
    <t>4785</t>
  </si>
  <si>
    <t>4785 - Transportdienste - Maut-, Straßen, -tunnel, -brücken und Inspektions- u. Wiegedienste</t>
  </si>
  <si>
    <t>4789</t>
  </si>
  <si>
    <t>4789 - Transportdienste - Sonstige Transportdienste</t>
  </si>
  <si>
    <t>4812</t>
  </si>
  <si>
    <t>4812 - Fernmeldeeinrichtungen - Drahtlose Telekommunikation</t>
  </si>
  <si>
    <t>4813</t>
  </si>
  <si>
    <t>4813 - Fernmeldeeinrichtungen - Telekommunikation (außer drahtlos)</t>
  </si>
  <si>
    <t>4822</t>
  </si>
  <si>
    <t>4822 - Fernmeldeeinrichtungen - Telegrafenverbindungen (drahtlos oder durch Draht)</t>
  </si>
  <si>
    <t>4832</t>
  </si>
  <si>
    <t>4832 - Fernmeldeeinrichtungen - Radiosendestationen</t>
  </si>
  <si>
    <t>4833</t>
  </si>
  <si>
    <t>4833 - Fernmeldeeinrichtungen - Fernsehsendestationen</t>
  </si>
  <si>
    <t>4841</t>
  </si>
  <si>
    <t>4841 - Fernmeldeeinrichtungen - Kabel- und Pay-TV</t>
  </si>
  <si>
    <t>4899</t>
  </si>
  <si>
    <t>4899 - Fernmeldeeinrichtungen - Sonstige Fernmeldedienste</t>
  </si>
  <si>
    <t>4911</t>
  </si>
  <si>
    <t>4911 - Dienste auf dem Gebiet der Elektrizitäts-, Gas- u. sanitären Versorgung - Elektrizitätsgesellschaften u. -Systeme</t>
  </si>
  <si>
    <t>4922</t>
  </si>
  <si>
    <t>4922 - Dienste auf dem Gebiet der Elektrizitäts-, Gas- u. sanitären Versorgung - Erdgasleitungen</t>
  </si>
  <si>
    <t>4923</t>
  </si>
  <si>
    <t>4923 - Dienste auf dem Gebiet der Elektrizitäts-, Gas- u. sanitären Versorgung - Erdgasleitung u. -Verteilernetz</t>
  </si>
  <si>
    <t>4924</t>
  </si>
  <si>
    <t>4924 - Dienste auf dem Gebiet der Elektrizitäts-, Gas- u. sanitären Versorgung - Erdgasverteilung</t>
  </si>
  <si>
    <t>4925</t>
  </si>
  <si>
    <t>4925 - Dienste auf dem Gebiet der Elektrizitäts-, Gas- u. sanitären Versorgung - Erzeugung u. Verteilung von Misch-, Stadt- u. Flüssiggas</t>
  </si>
  <si>
    <t>4931</t>
  </si>
  <si>
    <t>4931 - Dienste auf dem Gebiet der Elektrizitäts-, Gas- u. sanitären Versorgung - Elektrizitäts- u. andere öffentliche Versorgungsbetriebe</t>
  </si>
  <si>
    <t>4932</t>
  </si>
  <si>
    <t>4932 - Dienste auf dem Gebiet der Elektrizitäts-, Gas- u. sanitären Versorgung - Gas- u. andere öffentliche Versorgungsbetriebe</t>
  </si>
  <si>
    <t>4939</t>
  </si>
  <si>
    <t>4939 - Dienste auf dem Gebiet der Elektrizitäts-, Gas- u. sanitären Versorgung - Sonstige öffentliche Versorgungsdienste</t>
  </si>
  <si>
    <t>4941</t>
  </si>
  <si>
    <t>4941 - Dienste auf dem Gebiet der Elektrizitäts-, Gas- u. sanitären Versorgung - Wasserversorgung</t>
  </si>
  <si>
    <t>4952</t>
  </si>
  <si>
    <t>4952 - Dienste auf dem Gebiet der Elektrizitäts-, Gas- u. sanitären Versorgung - Abwassersysteme</t>
  </si>
  <si>
    <t>4953</t>
  </si>
  <si>
    <t>4953 - Dienste auf dem Gebiet der Elektrizitäts-, Gas- u. sanitären Versorgung - Abfallbeseitigung</t>
  </si>
  <si>
    <t>4959</t>
  </si>
  <si>
    <t>4959 - Dienste auf dem Gebiet der Elektrizitäts-, Gas- u. sanitären Versorgung - Sonstige öffentliche Sanitärdienste</t>
  </si>
  <si>
    <t>4961</t>
  </si>
  <si>
    <t>4961 - Dienste auf dem Gebiet der Elektrizitäts-, Gas- u. sanitären Versorgung - Dampf- u. Klimaanlagen</t>
  </si>
  <si>
    <t>4971</t>
  </si>
  <si>
    <t>4971 - Dienste auf dem Gebiet der Elektrizitäts-, Gas- u. sanitären Versorgung - Bewässerungssysteme, Wasserspeicher (Staubecken)</t>
  </si>
  <si>
    <t>5012</t>
  </si>
  <si>
    <t>5012 - Großhandel; dauerhafte Güter, sowie Import- u. Exportgeschäfte - Kfz-Import und Export</t>
  </si>
  <si>
    <t>5013</t>
  </si>
  <si>
    <t>5013 - Großhandel; dauerhafte Güter, sowie Import- u. Exportgeschäfte - Kfz-Ersatz- u. Zubehörteile</t>
  </si>
  <si>
    <t>5014</t>
  </si>
  <si>
    <t>5014 - Großhandel; dauerhafte Güter, sowie Import- u. Exportgeschäfte - Reifen u. Schläuche</t>
  </si>
  <si>
    <t>5015</t>
  </si>
  <si>
    <t>5015 - Großhandel; dauerhafte Güter, sowie Import- u. Exportgeschäfte - Gebrauchte Kfz.-Teile</t>
  </si>
  <si>
    <t>5021</t>
  </si>
  <si>
    <t>5021 - Großhandel; dauerhafte Güter, sowie Import- u. Exportgeschäfte - Möbel</t>
  </si>
  <si>
    <t>5023</t>
  </si>
  <si>
    <t>5023 - Großhandel; dauerhafte Güter, sowie Import- u. Exportgeschäfte - Wohnungsausstattungen, Glaswaren, Teppiche, Bodenbeläge, Gardinen</t>
  </si>
  <si>
    <t>5031</t>
  </si>
  <si>
    <t>5031 - Großhandel; dauerhafte Güter, sowie Import- u. Exportgeschäfte - Bau- u. Sperrholz, Spanplatten u. Bauschreinereiprodukte</t>
  </si>
  <si>
    <t>5032</t>
  </si>
  <si>
    <t>5032 - Großhandel; dauerhafte Güter, sowie Import- u. Exportgeschäfte - Steine u. ähnliche Baumaterialien</t>
  </si>
  <si>
    <t>5033</t>
  </si>
  <si>
    <t>5033 - Großhandel; dauerhafte Güter, sowie Import- u. Exportgeschäfte - Dachabdeckungen, Fassaden- u. Isolationsmaterial</t>
  </si>
  <si>
    <t>5039</t>
  </si>
  <si>
    <t>5039 - Großhandel; dauerhafte Güter, sowie Import- u. Exportgeschäfte - Sonstiges Baumaterial, Flachglas, Steine</t>
  </si>
  <si>
    <t>5043</t>
  </si>
  <si>
    <t>5043 - Großhandel; dauerhafte Güter, sowie Import- u. Exportgeschäfte - Fotoapparate und Zubehör</t>
  </si>
  <si>
    <t>5044</t>
  </si>
  <si>
    <t>5044 - Großhandel; dauerhafte Güter, sowie Import- u. Exportgeschäfte - Büromaschinen</t>
  </si>
  <si>
    <t>5045</t>
  </si>
  <si>
    <t>5045 - Großhandel; dauerhafte Güter, sowie Import- u. Exportgeschäfte - Computer, Computerzubehör u. Software</t>
  </si>
  <si>
    <t>5046</t>
  </si>
  <si>
    <t>5046 - Großhandel; dauerhafte Güter, sowie Import- u. Exportgeschäfte - Sonstige Geschäftsausstattung</t>
  </si>
  <si>
    <t>5047</t>
  </si>
  <si>
    <t>5047 - Großhandel; dauerhafte Güter, sowie Import- u. Exportgeschäfte - Ärztliche, Zahnärztliche u. Klinikgeräte und Bedarf</t>
  </si>
  <si>
    <t>5048</t>
  </si>
  <si>
    <t>5048 - Großhandel; dauerhafte Güter, sowie Import- u. Exportgeschäfte - Augenoptikerbedarf</t>
  </si>
  <si>
    <t>5049</t>
  </si>
  <si>
    <t>5049 - Großhandel; dauerhafte Güter, sowie Import- u. Exportgeschäfte - Sonstiger Berufsbedarf u. -ausrüstungen</t>
  </si>
  <si>
    <t>5051</t>
  </si>
  <si>
    <t>5051 - Großhandel; dauerhafte Güter, sowie Import- u. Exportgeschäfte - Metallwaren, Röhren u. Stahlbehälter, Kugellager, Wälzlager</t>
  </si>
  <si>
    <t>5052</t>
  </si>
  <si>
    <t>5052 - Großhandel; dauerhafte Güter, sowie Import- u. Exportgeschäfte - Eisenerz, Kohlen, Mineralien</t>
  </si>
  <si>
    <t>5063</t>
  </si>
  <si>
    <t>5063 - Großhandel; dauerhafte Güter, sowie Import- u. Exportgeschäfte - Elektrische Apparate, Leitungen u. Elektrobauartikel, Motoren</t>
  </si>
  <si>
    <t>5064</t>
  </si>
  <si>
    <t>5064 - Großhandel; dauerhafte Güter, sowie Import- u. Exportgeschäfte - Elektrische Apparate, Fernseh- u. Radiogeräte, Herde, Stereoanlagen</t>
  </si>
  <si>
    <t>5065</t>
  </si>
  <si>
    <t>5065 - Großhandel; dauerhafte Güter, sowie Import- u. Exportgeschäfte - Sonstige elektronische Elemente u. Ausrüstung, Radioteile u. -Zubehör</t>
  </si>
  <si>
    <t>5072</t>
  </si>
  <si>
    <t>5072 - Großhandel; dauerhafte Güter, sowie Import- u. Exportgeschäfte - Eisenwaren (allgemein), (Schrauben, Werkzeuge, Schneidwaren, Nägel usw.)</t>
  </si>
  <si>
    <t>5074</t>
  </si>
  <si>
    <t>5074 - Großhandel; dauerhafte Güter, sowie Import- u. Exportgeschäfte - Klempnereibedarf, Heizungszubehör, Boiler</t>
  </si>
  <si>
    <t>5075</t>
  </si>
  <si>
    <t>5075 - Großhandel; dauerhafte Güter, sowie Import- u. Exportgeschäfte - Warmluftheizungen u. Klimaanlagen</t>
  </si>
  <si>
    <t>5078</t>
  </si>
  <si>
    <t>5078 - Großhandel; dauerhafte Güter, sowie Import- u. Exportgeschäfte - Kühlanlagen u. Zubehör</t>
  </si>
  <si>
    <t>5082</t>
  </si>
  <si>
    <t>5082 - Großhandel; dauerhafte Güter, sowie Import- u. Exportgeschäfte - Bau- u. Bergbaumaschinen u. Ausrüstung</t>
  </si>
  <si>
    <t>5083</t>
  </si>
  <si>
    <t>5083 - Großhandel; dauerhafte Güter, sowie Import- u. Exportgeschäfte - Landwirtschaftliche u. Gartenbaumaschinen u. Geräte</t>
  </si>
  <si>
    <t>5084</t>
  </si>
  <si>
    <t>5084 - Großhandel; dauerhafte Güter, sowie Import- u. Exportgeschäfte - Industriemaschinen u. Ausrüstung, Pumpen, Gabelstapler, Farbspritzanlagen</t>
  </si>
  <si>
    <t>5085</t>
  </si>
  <si>
    <t>5085 - Großhandel; dauerhafte Güter, sowie Import- u. Exportgeschäfte - Industriebedarf, Verpackungsmaterial, Druckfarben</t>
  </si>
  <si>
    <t>5087</t>
  </si>
  <si>
    <t>5087 - Großhandel; dauerhafte Güter, sowie Import- u. Exportgeschäfte - Einrichtung u. Ausrüstung von Dienstleistungsunternehmen</t>
  </si>
  <si>
    <t>5088</t>
  </si>
  <si>
    <t>5088 - Großhandel; dauerhafte Güter, sowie Import- u. Exportgeschäfte - Transportgeräte (allgemein), Schiffsausrüstungen, Flugzeuge u. -teile</t>
  </si>
  <si>
    <t>5091</t>
  </si>
  <si>
    <t>5091 - Großhandel; dauerhafte Güter, sowie Import- u. Exportgeschäfte - Sport- u. Freizeitartikel</t>
  </si>
  <si>
    <t>5092</t>
  </si>
  <si>
    <t>5092 - Großhandel; dauerhafte Güter, sowie Import- u. Exportgeschäfte - Spielwaren u. Hobbyartikel</t>
  </si>
  <si>
    <t>5093</t>
  </si>
  <si>
    <t>5093 - Großhandel; dauerhafte Güter, sowie Import- u. Exportgeschäfte - Schrott u. Abfallmaterial</t>
  </si>
  <si>
    <t>5094</t>
  </si>
  <si>
    <t>5094 - Großhandel; dauerhafte Güter, sowie Import- u. Exportgeschäfte - Schmuck, Uhren, Brillanten u. andere Edelsteine</t>
  </si>
  <si>
    <t>5099</t>
  </si>
  <si>
    <t>5099 - Großhandel; dauerhafte Güter, sowie Import- u. Exportgeschäfte - Sonstige Gebrauchsgüter</t>
  </si>
  <si>
    <t>5111</t>
  </si>
  <si>
    <t>5111 - Großhandel; Verbrauchsgüter, sowie Import- u. Exportgeschäfte - Druck- u. Schreibpapier</t>
  </si>
  <si>
    <t>5112</t>
  </si>
  <si>
    <t>5112 - Großhandel; Verbrauchsgüter, sowie Import- u. Exportgeschäfte - Schreibwaren u. Bürobedarf</t>
  </si>
  <si>
    <t>5113</t>
  </si>
  <si>
    <t>5113 - Großhandel; Verbrauchsgüter, sowie Import- u. Exportgeschäfte - Industrie- u. Haushaltspapier, Einweggeschirr, Pappe</t>
  </si>
  <si>
    <t>5122</t>
  </si>
  <si>
    <t>5122 - Großhandel; Verbrauchsgüter, sowie Import- u. Exportgeschäfte - Apothekerware, Pharmazeutika, Drogen, Drogeriewaren, Kosmetikartikel</t>
  </si>
  <si>
    <t>5131</t>
  </si>
  <si>
    <t>5131 - Großhandel; Verbrauchsgüter, sowie Import- u. Exportgeschäfte - Stoffe u. Kurzwaren</t>
  </si>
  <si>
    <t>5136</t>
  </si>
  <si>
    <t>5136 - Großhandel; Verbrauchsgüter, sowie Import- u. Exportgeschäfte - Herren- u. Knabenbekleidung u. Ausstattung</t>
  </si>
  <si>
    <t>5137</t>
  </si>
  <si>
    <t>5137 - Großhandel; Verbrauchsgüter, sowie Import- u. Exportgeschäfte - Damen-, Kinder- u. Babyausstattung</t>
  </si>
  <si>
    <t>5139</t>
  </si>
  <si>
    <t>5139 - Großhandel; Verbrauchsgüter, sowie Import- u. Exportgeschäfte - Fußbekleidung</t>
  </si>
  <si>
    <t>5141</t>
  </si>
  <si>
    <t>5141 - Großhandel; Verbrauchsgüter, sowie Import- u. Exportgeschäfte - Kolonialwaren, Lebensmittel, Gemischtwaren</t>
  </si>
  <si>
    <t>5142</t>
  </si>
  <si>
    <t>5142 - Großhandel; Verbrauchsgüter, sowie Import- u. Exportgeschäfte - Tiefkühlkost (abgepackt)</t>
  </si>
  <si>
    <t>5143</t>
  </si>
  <si>
    <t>5143 - Großhandel; Verbrauchsgüter, sowie Import- u. Exportgeschäfte - Molkereiprodukte (außer trocken u. Dosen)</t>
  </si>
  <si>
    <t>5144</t>
  </si>
  <si>
    <t>5144 - Großhandel; Verbrauchsgüter, sowie Import- u. Exportgeschäfte - Geflügel- u. Geflügelprodukte</t>
  </si>
  <si>
    <t>5145</t>
  </si>
  <si>
    <t>5145 - Großhandel; Verbrauchsgüter, sowie Import- u. Exportgeschäfte - Süßwaren, Nüsse, Kartoffelchips, Kaugummi</t>
  </si>
  <si>
    <t>5146</t>
  </si>
  <si>
    <t>5146 - Großhandel; Verbrauchsgüter, sowie Import- u. Exportgeschäfte - Fisch u. Schalentiere</t>
  </si>
  <si>
    <t>5147</t>
  </si>
  <si>
    <t>5147 - Großhandel; Verbrauchsgüter, sowie Import- u. Exportgeschäfte - Fleisch u. Fleischprodukte</t>
  </si>
  <si>
    <t>5148</t>
  </si>
  <si>
    <t>5148 - Großhandel; Verbrauchsgüter, sowie Import- u. Exportgeschäfte - Frischobst u. Gemüse</t>
  </si>
  <si>
    <t>5149</t>
  </si>
  <si>
    <t>5149 - Großhandel; Verbrauchsgüter, sowie Import- u. Exportgeschäfte - Sonstige Kolonialwaren u. verw. Artikel</t>
  </si>
  <si>
    <t>5153</t>
  </si>
  <si>
    <t>5153 - Großhandel; Verbrauchsgüter, sowie Import- u. Exportgeschäfte - Getreide u. Bohnen</t>
  </si>
  <si>
    <t>5154</t>
  </si>
  <si>
    <t>5154 - Großhandel; Verbrauchsgüter, sowie Import- u. Exportgeschäfte - Vieh</t>
  </si>
  <si>
    <t>5159</t>
  </si>
  <si>
    <t>5159 - Großhandel; Verbrauchsgüter, sowie Import- u. Exportgeschäfte - Sonstige landwirtschaftl. Produkte, Pelze u. Felle</t>
  </si>
  <si>
    <t>5162</t>
  </si>
  <si>
    <t>5162 - Großhandel; Verbrauchsgüter, sowie Import- u. Exportgeschäfte - Kunststoffgrundstoffe und -rohformen</t>
  </si>
  <si>
    <t>5169</t>
  </si>
  <si>
    <t>5169 - Großhandel; Verbrauchsgüter, sowie Import- u. Exportgeschäfte - Sonstige Chemikalien u. verw. Produkte</t>
  </si>
  <si>
    <t>5171</t>
  </si>
  <si>
    <t>5171 - Großhandel; Verbrauchsgüter, sowie Import- u. Exportgeschäfte - Erdölgroßvertriebsstellen u. Terminals</t>
  </si>
  <si>
    <t>5172</t>
  </si>
  <si>
    <t>5172 - Großhandel; Verbrauchsgüter, sowie Import- u. Exportgeschäfte - Erdöl u. Erdölprodukte, Heizöl, Rohöl, Petroleum, Benzin</t>
  </si>
  <si>
    <t>5181</t>
  </si>
  <si>
    <t>5181 - Großhandel; Verbrauchsgüter, sowie Import- u. Exportgeschäfte - Bier</t>
  </si>
  <si>
    <t>5182</t>
  </si>
  <si>
    <t>5182 - Großhandel; Verbrauchsgüter, sowie Import- u. Exportgeschäfte - Weine u. Spirituosen</t>
  </si>
  <si>
    <t>5191</t>
  </si>
  <si>
    <t>5191 - Großhandel; Verbrauchsgüter, sowie Import- u. Exportgeschäfte - Landwirtschaftliche Geräte, Kunstdünger, Samen usw.</t>
  </si>
  <si>
    <t>5192</t>
  </si>
  <si>
    <t>5192 - Großhandel; Verbrauchsgüter, sowie Import- u. Exportgeschäfte - Bücher, Zeitschriften, Zeitungen</t>
  </si>
  <si>
    <t>5193</t>
  </si>
  <si>
    <t>5193 - Großhandel; Verbrauchsgüter, sowie Import- u. Exportgeschäfte - Blumen, Floristenbedarf</t>
  </si>
  <si>
    <t>5194</t>
  </si>
  <si>
    <t>5194 - Großhandel; Verbrauchsgüter, sowie Import- u. Exportgeschäfte - Tabak u. Tabakprodukte</t>
  </si>
  <si>
    <t>5198</t>
  </si>
  <si>
    <t>5198 - Großhandel; Verbrauchsgüter, sowie Import- u. Exportgeschäfte - Farben, Lacke, Tapeten</t>
  </si>
  <si>
    <t>5199</t>
  </si>
  <si>
    <t>5199 - Großhandel; Verbrauchsgüter, sowie Import- u. Exportgeschäfte - Sonstige Verbrauchsgüter</t>
  </si>
  <si>
    <t>5211</t>
  </si>
  <si>
    <t>5211 - Baumaterial-, Eisenwaren-, Gartengeräte-, Wohnmobile-Händler - Bauholz- u. Baumaterialhändler</t>
  </si>
  <si>
    <t>5231</t>
  </si>
  <si>
    <t>5231 - Baumaterial-, Eisenwaren-, Gartengeräte-, Wohnmobile-Händler - Farben, Glas- u. Tapetengeschäfte</t>
  </si>
  <si>
    <t>5251</t>
  </si>
  <si>
    <t>5251 - Baumaterial-, Eisenwaren-, Gartengeräte-, Wohnmobile-Händler - Eisenwaren</t>
  </si>
  <si>
    <t>5261</t>
  </si>
  <si>
    <t>5261 - Baumaterial-, Eisenwaren-, Gartengeräte-, Wohnmobile-Händler - Gartengeräte, Gartenbedarf, Saaten, Baumschulen, Christbäume</t>
  </si>
  <si>
    <t>5271</t>
  </si>
  <si>
    <t>5271 - Baumaterial-, Eisenwaren-, Gartengeräte-, Wohnmobile-Händler - Wohnmobile-Händler</t>
  </si>
  <si>
    <t>5311</t>
  </si>
  <si>
    <t>5311 - Waren aller Art - Waren- und Kaufhäuser</t>
  </si>
  <si>
    <t>5331</t>
  </si>
  <si>
    <t>5331 - Waren aller Art - Gemischtwarenhandel</t>
  </si>
  <si>
    <t>5399</t>
  </si>
  <si>
    <t>5399 - Waren aller Art - Verschiedene Waren</t>
  </si>
  <si>
    <t>5411</t>
  </si>
  <si>
    <t>5411 - Lebensmittelgeschäfte - Kolonialwaren, Lebensmittel, Delikatessen, Tiefkühlkost</t>
  </si>
  <si>
    <t>5421</t>
  </si>
  <si>
    <t>5421 - Lebensmittelgeschäfte - Fleisch- u. Fischmärkte, einschl. Tiefkühlkost</t>
  </si>
  <si>
    <t>5431</t>
  </si>
  <si>
    <t>5431 - Lebensmittelgeschäfte - Obst- u. Gemüsemarkt</t>
  </si>
  <si>
    <t>5441</t>
  </si>
  <si>
    <t>5441 - Lebensmittelgeschäfte - Süßwarengeschäfte</t>
  </si>
  <si>
    <t>5451</t>
  </si>
  <si>
    <t>5451 - Lebensmittelgeschäfte - Molkereiprodukte</t>
  </si>
  <si>
    <t>5461</t>
  </si>
  <si>
    <t>5461 - Lebensmittelgeschäfte - Bäckereien mit Verkauf</t>
  </si>
  <si>
    <t>5499</t>
  </si>
  <si>
    <t>5499 - Lebensmittelgeschäfte - Verschiedene Lebensmittelgeschäfte</t>
  </si>
  <si>
    <t>5511</t>
  </si>
  <si>
    <t>5511 - Autohändler und Tankstellen - Autohändler (Neu- und Gebrauchtwagen)</t>
  </si>
  <si>
    <t>5521</t>
  </si>
  <si>
    <t>5521 - Autohändler und Tankstellen - Autohändler (Gebrauchtwagen)</t>
  </si>
  <si>
    <t>5531</t>
  </si>
  <si>
    <t>5531 - Autohändler und Tankstellen - Kfz-Zubehör, Autoradios etc.</t>
  </si>
  <si>
    <t>5541</t>
  </si>
  <si>
    <t>5541 - Autohändler und Tankstellen - Tankstellen</t>
  </si>
  <si>
    <t>5551</t>
  </si>
  <si>
    <t>5551 - Autohändler und Tankstellen - Bootshändler, Außenbordmotoren, Schiffsausrüstung</t>
  </si>
  <si>
    <t>5561</t>
  </si>
  <si>
    <t>5561 - Autohändler und Tankstellen - Händler für Wohnwagen u. andere Anhänger</t>
  </si>
  <si>
    <t>5571</t>
  </si>
  <si>
    <t>5571 - Autohändler und Tankstellen - Motorradhändler</t>
  </si>
  <si>
    <t>5599</t>
  </si>
  <si>
    <t>5599 - Autohändler und Tankstellen - Sonstige Fahrzeughändler, Schnee- u. Spielmobile</t>
  </si>
  <si>
    <t>5611</t>
  </si>
  <si>
    <t>5611 - Bekleidung, Acessoires, Kurzwaren - Herren- u. Knabenausstattungsgeschäfte</t>
  </si>
  <si>
    <t>5621</t>
  </si>
  <si>
    <t>5621 - Bekleidung, Acessoires, Kurzwaren - Damen-Fertigkleidung</t>
  </si>
  <si>
    <t>5632</t>
  </si>
  <si>
    <t>5632 - Bekleidung, Acessoires, Kurzwaren - Damenkleidungs-Zubehör u. Spezialgeschäfte</t>
  </si>
  <si>
    <t>5641</t>
  </si>
  <si>
    <t>5641 - Bekleidung, Acessoires, Kurzwaren - Kinder- u. Babykleidung</t>
  </si>
  <si>
    <t>5651</t>
  </si>
  <si>
    <t>5651 - Bekleidung, Acessoires, Kurzwaren - Allgemeine Bekleidungsgeschäfte</t>
  </si>
  <si>
    <t>5661</t>
  </si>
  <si>
    <t>5661 - Bekleidung, Acessoires, Kurzwaren - Schuhgeschäfte</t>
  </si>
  <si>
    <t>5699</t>
  </si>
  <si>
    <t>5699 - Bekleidung, Acessoires, Kurzwaren - Verschiedene Bekleidungs- u. Kurzwarengeschäfte</t>
  </si>
  <si>
    <t>5712</t>
  </si>
  <si>
    <t>5712 - Möbel, Wohnungseinrichtungen und -Ausstattungen - Möbelgeschäfte</t>
  </si>
  <si>
    <t>5713</t>
  </si>
  <si>
    <t>5713 - Möbel, Wohnungseinrichtungen und -Ausstattungen - Fußbodenbeläge, Teppiche</t>
  </si>
  <si>
    <t>5714</t>
  </si>
  <si>
    <t>5714 - Möbel, Wohnungseinrichtungen und -Ausstattungen - Gardinen, Vorhänge, Polstermöbel</t>
  </si>
  <si>
    <t>5719</t>
  </si>
  <si>
    <t>5719 - Möbel, Wohnungseinrichtungen und -Ausstattungen - Verschiedene Einrichtungsgegenstände, Geschirr</t>
  </si>
  <si>
    <t>5722</t>
  </si>
  <si>
    <t>5722 - Möbel, Wohnungseinrichtungen und -Ausstattungen - Haushaltsgeschäfte, Elektrogeräte, Nähmaschinen, Einbauküchen</t>
  </si>
  <si>
    <t>5731</t>
  </si>
  <si>
    <t>5731 - Möbel, Wohnungseinrichtungen und -Ausstattungen - Radio-, Fernseh-, Video-Geschäfte</t>
  </si>
  <si>
    <t>5734</t>
  </si>
  <si>
    <t>5734 - Möbel, Wohnungseinrichtungen und -Ausstattungen - Computer und Software-Handlungen</t>
  </si>
  <si>
    <t>5735</t>
  </si>
  <si>
    <t>5735 - Möbel, Wohnungseinrichtungen und -Ausstattungen - Schallplatten-, Cassetten-, CD- und Videokassetten-Läden</t>
  </si>
  <si>
    <t>5736</t>
  </si>
  <si>
    <t>5736 - Möbel, Wohnungseinrichtungen und -Ausstattungen - Musikinstrumentengeschäfte</t>
  </si>
  <si>
    <t>5812</t>
  </si>
  <si>
    <t>5812 - Gaststätten und Lokale - Restaurants, Schnellimbiß usw.</t>
  </si>
  <si>
    <t>5813</t>
  </si>
  <si>
    <t>5813 - Gaststätten und Lokale - Lokale, Bierhallen, Nachtclubs, Discotheken</t>
  </si>
  <si>
    <t>5912</t>
  </si>
  <si>
    <t>5912 - Verschiedene Warengattungen - Drogerien, Apotheken</t>
  </si>
  <si>
    <t>5921</t>
  </si>
  <si>
    <t>5921 - Verschiedene Warengattungen - Spirituosenhandlungen</t>
  </si>
  <si>
    <t>5932</t>
  </si>
  <si>
    <t>5932 - Verschiedene Warengattungen - Gebrauchtwarengeschäfte, Antiquitäten, Second-Hand-Läden</t>
  </si>
  <si>
    <t>5941</t>
  </si>
  <si>
    <t>5941 - Verschiedene Warengattungen - Sport- u. Fahrradgeschäfte</t>
  </si>
  <si>
    <t>5942</t>
  </si>
  <si>
    <t>5942 - Verschiedene Warengattungen - Buchhandlungen</t>
  </si>
  <si>
    <t>5943</t>
  </si>
  <si>
    <t>5943 - Verschiedene Warengattungen - Schreibwarengeschäfte</t>
  </si>
  <si>
    <t>5944</t>
  </si>
  <si>
    <t>5944 - Verschiedene Warengattungen - Juwelierläden</t>
  </si>
  <si>
    <t>5945</t>
  </si>
  <si>
    <t>5945 - Verschiedene Warengattungen - Hobby- u. Spielwarengeschäfte</t>
  </si>
  <si>
    <t>5946</t>
  </si>
  <si>
    <t>5946 - Verschiedene Warengattungen - Fotogeschäfte</t>
  </si>
  <si>
    <t>5947</t>
  </si>
  <si>
    <t>5947 - Verschiedene Warengattungen - Geschenkartikel u. Souveniers</t>
  </si>
  <si>
    <t>5948</t>
  </si>
  <si>
    <t>5948 - Verschiedene Warengattungen - Taschen, Koffer, Lederwaren</t>
  </si>
  <si>
    <t>5949</t>
  </si>
  <si>
    <t>5949 - Verschiedene Warengattungen - Handarbeitsgeschäfte, Meterware (Stoffe)</t>
  </si>
  <si>
    <t>5961</t>
  </si>
  <si>
    <t>5961 - Verschiedene Warengattungen - Postversandhäuser</t>
  </si>
  <si>
    <t>5962</t>
  </si>
  <si>
    <t>5962 - Verschiedene Warengattungen - Verkaufsautomaten</t>
  </si>
  <si>
    <t>5963</t>
  </si>
  <si>
    <t>5963 Direktverkaufsgeschäfte</t>
  </si>
  <si>
    <t>5983</t>
  </si>
  <si>
    <t>5983 - Verschiedene Warengattungen - Heizölhändler</t>
  </si>
  <si>
    <t>5984</t>
  </si>
  <si>
    <t>5984 - Verschiedene Warengattungen - Flüssiggas (Flaschengas)</t>
  </si>
  <si>
    <t>5989</t>
  </si>
  <si>
    <t>5989 - Verschiedene Warengattungen - Sonstige Brennstoffhändler</t>
  </si>
  <si>
    <t>5992</t>
  </si>
  <si>
    <t>5992 - Verschiedene Warengattungen - Blumengeschäfte</t>
  </si>
  <si>
    <t>5993</t>
  </si>
  <si>
    <t>5993 - Verschiedene Warengattungen - Zigarrengeschäfte u. -Stände</t>
  </si>
  <si>
    <t>5994</t>
  </si>
  <si>
    <t>5994 - Verschiedene Warengattungen - Zeitungsgeschäfte u. -Stände</t>
  </si>
  <si>
    <t>5995</t>
  </si>
  <si>
    <t>5995 - Verschiedene Warengattungen - Optikergeschäfte</t>
  </si>
  <si>
    <t>5999</t>
  </si>
  <si>
    <t>5999 - Verschiedene Warengattungen - Verschiedene Warengattungen</t>
  </si>
  <si>
    <t>6011</t>
  </si>
  <si>
    <t>6011 - Banken und Kreditinstitute - Zentral- u. Notenbanken</t>
  </si>
  <si>
    <t>6019</t>
  </si>
  <si>
    <t>6019 - Banken und Kreditinstitute - Sonstige Zentral-Kreditinstitute</t>
  </si>
  <si>
    <t>6021</t>
  </si>
  <si>
    <t>6021 - Banken und Kreditinstitute - Bundesbanken</t>
  </si>
  <si>
    <t>6022</t>
  </si>
  <si>
    <t>6022 - Banken und Kreditinstitute - Landesbanken</t>
  </si>
  <si>
    <t>6029</t>
  </si>
  <si>
    <t>6029 - Banken und Kreditinstitute - Sonstige Geschäftsbanken</t>
  </si>
  <si>
    <t>6035</t>
  </si>
  <si>
    <t>6035 - Banken und Kreditinstitute - Sparkassen mit Bundeslizenz</t>
  </si>
  <si>
    <t>6036</t>
  </si>
  <si>
    <t>6036 - Banken und Kreditinstitute - Sparkassen ohne Bundeslizenz</t>
  </si>
  <si>
    <t>6061</t>
  </si>
  <si>
    <t>6061 - Banken und Kreditinstitute - Kreditvereinigungen mit Bundeslizenz</t>
  </si>
  <si>
    <t>6062</t>
  </si>
  <si>
    <t>6062 - Banken und Kreditinstitute - Kreditvereinigungen ohne Bundeslizenz</t>
  </si>
  <si>
    <t>6081</t>
  </si>
  <si>
    <t>6081 - Banken und Kreditinstitute - Zweigstellen u. Vertretungen ausländischer Banken</t>
  </si>
  <si>
    <t>6082</t>
  </si>
  <si>
    <t>6082 - Banken und Kreditinstitute - Außenhandelsbanken</t>
  </si>
  <si>
    <t>6091</t>
  </si>
  <si>
    <t>6091 - Banken und Kreditinstitute - Trusts</t>
  </si>
  <si>
    <t>6099</t>
  </si>
  <si>
    <t>6099 - Banken und Kreditinstitute - Sonstige Anlagendienste</t>
  </si>
  <si>
    <t>6111</t>
  </si>
  <si>
    <t>6111 - Kreditinstitute (andere als Banken) - Staatlich u. staatlich unterstützte Kreditinstitute</t>
  </si>
  <si>
    <t>6141</t>
  </si>
  <si>
    <t>6141 - Kreditinstitute (andere als Banken) - Verbraucherkreditagenturen</t>
  </si>
  <si>
    <t>6153</t>
  </si>
  <si>
    <t>6153 - Kreditinstitute (andere als Banken) - Institute für kurzfristige Geschäftskredite</t>
  </si>
  <si>
    <t>6159</t>
  </si>
  <si>
    <t>6159 - Kreditinstitute (andere als Banken) - Verschiedene Geschäfts-Kreditinstitute</t>
  </si>
  <si>
    <t>6162</t>
  </si>
  <si>
    <t>6162 - Kreditinstitute (andere als Banken) - Hypothekenbanken</t>
  </si>
  <si>
    <t>6163</t>
  </si>
  <si>
    <t>6163 - Kreditinstitute (andere als Banken) - Anleihe-Vermittler</t>
  </si>
  <si>
    <t>6211</t>
  </si>
  <si>
    <t>6211 - Wertpapier- und Warenmakler, Händler, Börsen etc. - Wertpapiermakler, -händler u. Wertpapieremissionen</t>
  </si>
  <si>
    <t>6221</t>
  </si>
  <si>
    <t>6221 - Wertpapier- und Warenmakler, Händler, Börsen etc. - Warenmakler</t>
  </si>
  <si>
    <t>6231</t>
  </si>
  <si>
    <t>6231 - Wertpapier- und Warenmakler, Händler, Börsen etc. - Wertpapier- u. Warenbörsen</t>
  </si>
  <si>
    <t>6280</t>
  </si>
  <si>
    <t>6280 - Wertpapier- und Warenmakler, Händler, Börsen etc. - Dienstleistungen auf dem Gebiet des Wertpapier- u. Warenaustausches</t>
  </si>
  <si>
    <t>6282</t>
  </si>
  <si>
    <t>6282 - Wertpapier- und Warenmakler, Händler, Börsen etc. - Anlagenberatung</t>
  </si>
  <si>
    <t>6289</t>
  </si>
  <si>
    <t>6289 - Wertpapier- und Warenmakler, Händler, Börsen etc. - Sonstige Börsendienste</t>
  </si>
  <si>
    <t>6311</t>
  </si>
  <si>
    <t>6311 - Versicherungsträger - Lebensversicherungen</t>
  </si>
  <si>
    <t>6321</t>
  </si>
  <si>
    <t>6321 - Versicherungsträger - Unfall- u. Krankenversicherungen</t>
  </si>
  <si>
    <t>6324</t>
  </si>
  <si>
    <t>6324 - Versicherungsträger - Krankenhaus-Zusatzversicherungen etc.</t>
  </si>
  <si>
    <t>6331</t>
  </si>
  <si>
    <t>6331 - Versicherungsträger - Feuer-, Seefahrts-, Sach- u. Arbeitsunfallversicherungen</t>
  </si>
  <si>
    <t>6351</t>
  </si>
  <si>
    <t>6351 - Versicherungsträger - Garantieträgerversicherungen, Kreditversicherungen</t>
  </si>
  <si>
    <t>6361</t>
  </si>
  <si>
    <t>6361 - Versicherungsträger - Titelversicherungen</t>
  </si>
  <si>
    <t>6371</t>
  </si>
  <si>
    <t>6371 - Versicherungsträger - Pensions-, Kranken- u. Wohlfahrtskassen</t>
  </si>
  <si>
    <t>6399</t>
  </si>
  <si>
    <t>6399 - Versicherungsträger - Sonstige Versicherungsträger</t>
  </si>
  <si>
    <t>6411</t>
  </si>
  <si>
    <t>6411 - Versicherungsagenturen, Makler und Dienstleistungen - Versicherungsagenturen, Makler u. Dienstleistungen</t>
  </si>
  <si>
    <t>6512</t>
  </si>
  <si>
    <t>6512 - Immobilien - Verwaltungen für Gebäude (keine W ohnhäuser)</t>
  </si>
  <si>
    <t>6513</t>
  </si>
  <si>
    <t>6513 - Immobilien - Mietshausverwaltungen</t>
  </si>
  <si>
    <t>6514</t>
  </si>
  <si>
    <t>6514 - Immobilien - Verwaltungen für Wohnungen außer Mietshäusern</t>
  </si>
  <si>
    <t>6515</t>
  </si>
  <si>
    <t>6515 - Immobilien - Verwaltungen von Wohnwagenplätzen u. Campingplätzen</t>
  </si>
  <si>
    <t>6517</t>
  </si>
  <si>
    <t>6517 - Immobilien - Verpachtung von Eisenbahngrundstücken</t>
  </si>
  <si>
    <t>6519</t>
  </si>
  <si>
    <t>6519 - Immobilien - Sonstige Verpachter von Grundstücken</t>
  </si>
  <si>
    <t>6531</t>
  </si>
  <si>
    <t>6531 - Immobilien - Immobilien-Agenten, Makler u. Verwalter</t>
  </si>
  <si>
    <t>6541</t>
  </si>
  <si>
    <t>6541 - Immobilien - Grundbuchgesellschaften</t>
  </si>
  <si>
    <t>6552</t>
  </si>
  <si>
    <t>6552 - Immobilien - Parzellierung u. Urbarmachung (außer Friedhöfen)</t>
  </si>
  <si>
    <t>6553</t>
  </si>
  <si>
    <t>6553 - Immobilien - Friedhofsparzellierung</t>
  </si>
  <si>
    <t>6712</t>
  </si>
  <si>
    <t>6712 - Holdings und andere Investmentgesellschaften - Bank-Holding-Gesellschaften</t>
  </si>
  <si>
    <t>6719</t>
  </si>
  <si>
    <t>6719 - Holdings und andere Investmentgesellschaften - Sonstige Holding-Gesellschaften</t>
  </si>
  <si>
    <t>6722</t>
  </si>
  <si>
    <t>6722 - Holdings und andere Investmentgesellschaften - Kapitalanlagegesellschaften (Investitionsgesellschaften) (open-end)</t>
  </si>
  <si>
    <t>6726</t>
  </si>
  <si>
    <t>6726 - Holdings und andere Investmentgesellschaften - Sonstige Investmentgesellschaften</t>
  </si>
  <si>
    <t>6732</t>
  </si>
  <si>
    <t>6732 - Holdings und andere Investmentgesellschaften - Kulturelle, religiöse u. Wohltätigkeitsstiftungen</t>
  </si>
  <si>
    <t>6733</t>
  </si>
  <si>
    <t>6733 - Holdings und andere Investmentgesellschaften - Stiftungen außer kulturellen, religiösen u. wohltätigen</t>
  </si>
  <si>
    <t>6792</t>
  </si>
  <si>
    <t>6792 - Holdings und andere Investmentgesellschaften - Ölbohr-Lizenzgesellschaften, Verwertung von entsprechenden Lizenzen</t>
  </si>
  <si>
    <t>6794</t>
  </si>
  <si>
    <t>6794 - Holdings und andere Investmentgesellschaften - Patentinhaber und Lizenzgeber</t>
  </si>
  <si>
    <t>6798</t>
  </si>
  <si>
    <t>6798 - Holdings und andere Investmentgesellschaften - Immobilien-Investment Trusts</t>
  </si>
  <si>
    <t>6799</t>
  </si>
  <si>
    <t>6799 - Holdings und andere Investmentgesellschaften - Sonstige Investoren</t>
  </si>
  <si>
    <t>7011</t>
  </si>
  <si>
    <t>7011 - Hotels, Pensionen, Campingplätze und andere Beherbergungsbetriebe - Hotels, Motels</t>
  </si>
  <si>
    <t>7021</t>
  </si>
  <si>
    <t>7021 - Hotels, Pensionen, Campingplätze und andere Beherbergungsbetriebe - Pensionen u. Fremdenheime</t>
  </si>
  <si>
    <t>7032</t>
  </si>
  <si>
    <t>7032 - Hotels, Pensionen, Campingplätze und andere Beherbergungsbetriebe - Sport- u. Erholungszentren</t>
  </si>
  <si>
    <t>7033</t>
  </si>
  <si>
    <t>7033 - Hotels, Pensionen, Campingplätze und andere Beherbergungsbetriebe - Campingplätze</t>
  </si>
  <si>
    <t>7041</t>
  </si>
  <si>
    <t>7041 - Hotels, Pensionen, Campingplätze und andere Beherbergungsbetriebe - Hotels, Beherbergungsbetriebe u. Wohnheime von Organisationen</t>
  </si>
  <si>
    <t>7218</t>
  </si>
  <si>
    <t>7218 - Persönliche Dienstleistungen - Industriewäschereien</t>
  </si>
  <si>
    <t>7219</t>
  </si>
  <si>
    <t>7219 - Persönliche Dienstleistungen - Sonstige Wäscherei- u. Kleiderdienste</t>
  </si>
  <si>
    <t>7221</t>
  </si>
  <si>
    <t>7221 - Persönliche Dienstleistungen - Fotostudios, Portraitaufnahmen</t>
  </si>
  <si>
    <t>7231</t>
  </si>
  <si>
    <t>7231 - Persönliche Dienstleistungen - Coiffeure, Kosmetiksalons</t>
  </si>
  <si>
    <t>7241</t>
  </si>
  <si>
    <t>7241 - Persönliche Dienstleistungen - Herrenfriseurgeschäfte</t>
  </si>
  <si>
    <t>7251</t>
  </si>
  <si>
    <t>7251 - Persönliche Dienstleistungen - Schuhmachereien, Schuhputzbetrieb, Hutreinigungsanstalten</t>
  </si>
  <si>
    <t>7261</t>
  </si>
  <si>
    <t>7261 - Persönliche Dienstleistungen - Beerdigungsinstitute u. Krematorien</t>
  </si>
  <si>
    <t>7291</t>
  </si>
  <si>
    <t>7291 - Persönliche Dienstleistungen - Steuerberater</t>
  </si>
  <si>
    <t>7299</t>
  </si>
  <si>
    <t>7299 - Persönliche Dienstleistungen - Verschiedene persönliche Dienstleistungen</t>
  </si>
  <si>
    <t>7311</t>
  </si>
  <si>
    <t>7311 - Kommerzielle Dienstleistungen - Werbeagenturen</t>
  </si>
  <si>
    <t>7312</t>
  </si>
  <si>
    <t>7312 - Kommerzielle Dienstleistungen - Außenwerbung, Straßenwerbung</t>
  </si>
  <si>
    <t>7313</t>
  </si>
  <si>
    <t>7313 - Kommerzielle Dienstleistungen - Anzeigenakquisition, Vermittlung v. Rundfunk- u. Fernsehwerbung</t>
  </si>
  <si>
    <t>7319</t>
  </si>
  <si>
    <t>7319 - Kommerzielle Dienstleistungen - Sonstige Werbung</t>
  </si>
  <si>
    <t>7322</t>
  </si>
  <si>
    <t>7322 - Kommerzielle Dienstleistungen - Inkassodienste</t>
  </si>
  <si>
    <t>7323</t>
  </si>
  <si>
    <t>7323 - Kommerzielle Dienstleistungen - Handels- u. Kreditauskunfteien</t>
  </si>
  <si>
    <t>7331</t>
  </si>
  <si>
    <t>7331 - Kommerzielle Dienstleistungen - Direktmail- und Postwerbungsagenturen</t>
  </si>
  <si>
    <t>7334</t>
  </si>
  <si>
    <t>7334 - Kommerzielle Dienstleistungen - Lichtpaus- u. Fotokopieranstalten</t>
  </si>
  <si>
    <t>7335</t>
  </si>
  <si>
    <t>7335 - Kommerzielle Dienstleistungen - Industriefotografen</t>
  </si>
  <si>
    <t>7336</t>
  </si>
  <si>
    <t>7336 - Kommerzielle Dienstleistungen - Werbegraphik</t>
  </si>
  <si>
    <t>7338</t>
  </si>
  <si>
    <t>7338 - Kommerzielle Dienstleistungen - Sekretariats- u. Stenographendienste</t>
  </si>
  <si>
    <t>7342</t>
  </si>
  <si>
    <t>7342 - Kommerzielle Dienstleistungen - Desinfektoren und Kammerjäger</t>
  </si>
  <si>
    <t>7349</t>
  </si>
  <si>
    <t>7349 - Kommerzielle Dienstleistungen - Sonstige Hausreinigungs- u. Instandhaltungsdienste, Gebäudereinigung</t>
  </si>
  <si>
    <t>7352</t>
  </si>
  <si>
    <t>7352 - Kommerzielle Dienstleistungen - Verleih und Leasing von medizinischen Geräten</t>
  </si>
  <si>
    <t>7353</t>
  </si>
  <si>
    <t>7353 - Kommerzielle Dienstleistungen - Baumaschinen-Verleih und -Leasing</t>
  </si>
  <si>
    <t>7359</t>
  </si>
  <si>
    <t>7359 - Kommerzielle Dienstleistungen - Sonstiger Verleih u. Leasing</t>
  </si>
  <si>
    <t>7361</t>
  </si>
  <si>
    <t>7361 - Kommerzielle Dienstleistungen - Arbeitsämter, Arbeitsbeschaffungsstellen</t>
  </si>
  <si>
    <t>7363</t>
  </si>
  <si>
    <t>7363 - Kommerzielle Dienstleistungen - Vermittlungsbüros für Aushilfskräfte</t>
  </si>
  <si>
    <t>7371</t>
  </si>
  <si>
    <t>7371 - Kommerzielle Dienstleistungen - Programmierungsdienste für Computer etc.</t>
  </si>
  <si>
    <t>7372</t>
  </si>
  <si>
    <t>7372 - Kommerzielle Dienstleistungen - Fertige Software</t>
  </si>
  <si>
    <t>7373</t>
  </si>
  <si>
    <t>7373 - Kommerzielle Dienstleistungen - Systemanalyse und -entwicklung</t>
  </si>
  <si>
    <t>7374</t>
  </si>
  <si>
    <t>7374 - Kommerzielle Dienstleistungen - Datenverarbeitungsdienste</t>
  </si>
  <si>
    <t>7375</t>
  </si>
  <si>
    <t>7375 - Kommerzielle Dienstleistungen - Informationsbeschaffung</t>
  </si>
  <si>
    <t>7376</t>
  </si>
  <si>
    <t>7376 - Kommerzielle Dienstleistungen - Management von Computerausrüstung</t>
  </si>
  <si>
    <t>7377</t>
  </si>
  <si>
    <t>7377 - Kommerzielle Dienstleistungen - Vermietung und Leasing von Computern</t>
  </si>
  <si>
    <t>7378</t>
  </si>
  <si>
    <t>7378 - Kommerzielle Dienstleistungen - Computerwartung und -reparatur</t>
  </si>
  <si>
    <t>7379</t>
  </si>
  <si>
    <t>7379 - Kommerzielle Dienstleistungen - Sonstige Dienstleistungen auf dem Computersektor</t>
  </si>
  <si>
    <t>7381</t>
  </si>
  <si>
    <t>7381 - Kommerzielle Dienstleistungen - Detektivbüros, Wach- u. Schutzdienste, gepanzerte Wagen</t>
  </si>
  <si>
    <t>7382</t>
  </si>
  <si>
    <t>7382 - Kommerzielle Dienstleistungen - Alarmanlagen</t>
  </si>
  <si>
    <t>7383</t>
  </si>
  <si>
    <t>7383 - Kommerzielle Dienstleistungen - Nachrichtendienste</t>
  </si>
  <si>
    <t>7384</t>
  </si>
  <si>
    <t>7384 - Kommerzielle Dienstleistungen - Fotolabors</t>
  </si>
  <si>
    <t>7389</t>
  </si>
  <si>
    <t>7389 - Kommerzielle Dienstleistungen - Sonstige gewerbliche Dienstleistungen</t>
  </si>
  <si>
    <t>7513</t>
  </si>
  <si>
    <t>7513 - KFZ-Reparaturen, Wartung, Garagen - LKW-Vermietung ohne Fahrer</t>
  </si>
  <si>
    <t>7514</t>
  </si>
  <si>
    <t>7514 - KFZ-Reparaturen, Wartung, Garagen - PKW-Vermietung</t>
  </si>
  <si>
    <t>7515</t>
  </si>
  <si>
    <t>7515 - KFZ-Reparaturen, Wartung, Garagen - PKW-Leasing</t>
  </si>
  <si>
    <t>7519</t>
  </si>
  <si>
    <t>7519 - KFZ-Reparaturen, Wartung, Garagen - Vermietung von Wohnwagen u. Anhängern</t>
  </si>
  <si>
    <t>7521</t>
  </si>
  <si>
    <t>7521 - KFZ-Reparaturen, Wartung, Garagen - Parkplätze und Parkhäuser</t>
  </si>
  <si>
    <t>7532</t>
  </si>
  <si>
    <t>7532 - KFZ-Reparaturen, Wartung, Garagen - Karosserie-Reparaturwerkstätten u. Autolackierereien</t>
  </si>
  <si>
    <t>7533</t>
  </si>
  <si>
    <t>7533 - KFZ-Reparaturen, Wartung, Garagen - Auspuffreparaturwerkstätten</t>
  </si>
  <si>
    <t>7534</t>
  </si>
  <si>
    <t>7534 - KFZ-Reparaturen, Wartung, Garagen - Reparatur und Runderneuerung von Autoreifen</t>
  </si>
  <si>
    <t>7536</t>
  </si>
  <si>
    <t>7536 - KFZ-Reparaturen, Wartung, Garagen - Autoscheibendienste</t>
  </si>
  <si>
    <t>7537</t>
  </si>
  <si>
    <t>7537 - KFZ-Reparaturen, Wartung, Garagen - Getriebewerkstätten</t>
  </si>
  <si>
    <t>7538</t>
  </si>
  <si>
    <t>7538 - KFZ-Reparaturen, Wartung, Garagen - Allgemeine KFZ-Reparaturwerkstätten</t>
  </si>
  <si>
    <t>7539</t>
  </si>
  <si>
    <t>7539 - KFZ-Reparaturen, Wartung, Garagen - Sonstige KFZ-Reparaturwerkstätten</t>
  </si>
  <si>
    <t>7542</t>
  </si>
  <si>
    <t>7542 - KFZ-Reparaturen, Wartung, Garagen - Autowaschanlagen</t>
  </si>
  <si>
    <t>7549</t>
  </si>
  <si>
    <t>7549 - KFZ-Reparaturen, Wartung, Garagen - Sonstige KFZ-Dienstleistungen außer Reparatur u. Wagenwaschen</t>
  </si>
  <si>
    <t>7622</t>
  </si>
  <si>
    <t>7622 - Verschiedene Reparaturdienste - Reparatur von Radio- u. Fernsehgeräten</t>
  </si>
  <si>
    <t>7623</t>
  </si>
  <si>
    <t>7623 - Verschiedene Reparaturdienste - Reparatur u. Wartung von Kühl- u. Klimaanlagen</t>
  </si>
  <si>
    <t>7629</t>
  </si>
  <si>
    <t>7629 - Verschiedene Reparaturdienste - Reparatur von elektr. u. elektron. Anlagen</t>
  </si>
  <si>
    <t>7631</t>
  </si>
  <si>
    <t>7631 - Verschiedene Reparaturdienste - Reparatur von Uhren u. Schmuck</t>
  </si>
  <si>
    <t>7641</t>
  </si>
  <si>
    <t>7641 - Verschiedene Reparaturdienste - Reparatur von Möbeln u. Polstermöbeln</t>
  </si>
  <si>
    <t>7692</t>
  </si>
  <si>
    <t>7692 - Verschiedene Reparaturdienste - Schweißreparaturen, Schweißwerkstätten</t>
  </si>
  <si>
    <t>7694</t>
  </si>
  <si>
    <t>7694 - Verschiedene Reparaturdienste - Reparatur u. Ausbohrung von Elektroarmaturen</t>
  </si>
  <si>
    <t>7699</t>
  </si>
  <si>
    <t>7699 - Verschiedene Reparaturdienste - Sonstige Reparaturwerkstätten u. verwandte Anlagen</t>
  </si>
  <si>
    <t>7812</t>
  </si>
  <si>
    <t>7812 - Filmproduktion - Film- und Video-Produktion</t>
  </si>
  <si>
    <t>7819</t>
  </si>
  <si>
    <t>7819 - Filmproduktion - Dienstleistungen auf dem Gebiet der Spielfilmproduktion</t>
  </si>
  <si>
    <t>7822</t>
  </si>
  <si>
    <t>7822 - Filmproduktion - Vertrieb von Filmen u. Videos</t>
  </si>
  <si>
    <t>7829</t>
  </si>
  <si>
    <t>7829 - Filmproduktion - Dienstleistungen auf dem Gebiet des Spielfilmvertriebs</t>
  </si>
  <si>
    <t>7832</t>
  </si>
  <si>
    <t>7832 - Filmproduktion - Filmtheater, außer Drive-In-Kinos</t>
  </si>
  <si>
    <t>7833</t>
  </si>
  <si>
    <t>7833 - Filmproduktion - Drive-In (Autokinos)</t>
  </si>
  <si>
    <t>7841</t>
  </si>
  <si>
    <t>7841 - Filmproduktion - Video-Verleih</t>
  </si>
  <si>
    <t>7911</t>
  </si>
  <si>
    <t>7911 - Vergnügungs- und Erholungsstätten - Tanzsäle, Tanzschulen</t>
  </si>
  <si>
    <t>7922</t>
  </si>
  <si>
    <t>7922 - Vergnügungs- und Erholungsstätten - Theaterproduzenten (außer Film) u. verschiedene Theaterdienste</t>
  </si>
  <si>
    <t>7929</t>
  </si>
  <si>
    <t>7929 - Vergnügungs- und Erholungsstätten - Kapellen, Orchester, Schauspieler u. andere Unterhalter</t>
  </si>
  <si>
    <t>7932</t>
  </si>
  <si>
    <t>7932 - Vergnügungs- und Erholungsstätten - Billardsäle</t>
  </si>
  <si>
    <t>7933</t>
  </si>
  <si>
    <t>7933 - Vergnügungs- und Erholungsstätten - Bowlinganlagen, Kegelbahnen</t>
  </si>
  <si>
    <t>7941</t>
  </si>
  <si>
    <t>7941 - Vergnügungs- und Erholungsstätten - Berufssportclubs u. Promoter</t>
  </si>
  <si>
    <t>7948</t>
  </si>
  <si>
    <t>7948 - Vergnügungs- und Erholungsstätten - Rennbahnen einschl. Instandhaltung</t>
  </si>
  <si>
    <t>7991</t>
  </si>
  <si>
    <t>7991 - Vergnügungs- und Erholungsstätten - Fitnessstudios</t>
  </si>
  <si>
    <t>7992</t>
  </si>
  <si>
    <t>7992 - Vergnügungs- und Erholungsstätten - Öffentliche Golfplätze</t>
  </si>
  <si>
    <t>7993</t>
  </si>
  <si>
    <t>7993 - Vergnügungs- und Erholungsstätten - Spielsalons m. Münzautomaten</t>
  </si>
  <si>
    <t>7996</t>
  </si>
  <si>
    <t>7996 - Vergnügungs- und Erholungsstätten - Vergnügungsparks</t>
  </si>
  <si>
    <t>7997</t>
  </si>
  <si>
    <t>7997 - Vergnügungs- und Erholungsstätten - Sport- u. Spielvereine</t>
  </si>
  <si>
    <t>7999</t>
  </si>
  <si>
    <t>7999 - Vergnügungs- und Erholungsstätten - Sonstige Vergnügungs- u. Erholungsanlagen</t>
  </si>
  <si>
    <t>8011</t>
  </si>
  <si>
    <t>8011 - Gesundheitsdienste - Arztpraxen (ohne Kliniken)</t>
  </si>
  <si>
    <t>8021</t>
  </si>
  <si>
    <t>8021 - Gesundheitsdienste - Zahnärzte</t>
  </si>
  <si>
    <t>8031</t>
  </si>
  <si>
    <t>8031 - Gesundheitsdienste - Osteopathische Fachärzte</t>
  </si>
  <si>
    <t>8041</t>
  </si>
  <si>
    <t>8041 - Gesundheitsdienste - Chiropraktiker</t>
  </si>
  <si>
    <t>8042</t>
  </si>
  <si>
    <t>8042 - Gesundheitsdienste - Augenärzte</t>
  </si>
  <si>
    <t>8043</t>
  </si>
  <si>
    <t>8043 - Gesundheitsdienste - Fußärzte</t>
  </si>
  <si>
    <t>8049</t>
  </si>
  <si>
    <t>8049 - Gesundheitsdienste - Sonstige Heilpraktiker</t>
  </si>
  <si>
    <t>8051</t>
  </si>
  <si>
    <t>8051 - Gesundheitsdienste - Pflegeeinrichtungen</t>
  </si>
  <si>
    <t>8052</t>
  </si>
  <si>
    <t>8052 - Gesundheitsdienste - Übergangspflegeeinrichtungen</t>
  </si>
  <si>
    <t>8059</t>
  </si>
  <si>
    <t>8059 - Gesundheitsdienste - Sonstige Pflegeheime</t>
  </si>
  <si>
    <t>8062</t>
  </si>
  <si>
    <t>8062 - Gesundheitsdienste - Allgemeine Krankenhäuser</t>
  </si>
  <si>
    <t>8063</t>
  </si>
  <si>
    <t>8063 - Gesundheitsdienste - Psychiatrische Kliniken</t>
  </si>
  <si>
    <t>8069</t>
  </si>
  <si>
    <t>8069 - Gesundheitsdienste - Spezial- und Kinderkliniken (außer Psychiatrie)</t>
  </si>
  <si>
    <t>8071</t>
  </si>
  <si>
    <t>8071 - Gesundheitsdienste - Medizinische Laboratorien</t>
  </si>
  <si>
    <t>8072</t>
  </si>
  <si>
    <t>8072 - Gesundheitsdienste - Zahntechnische Labors</t>
  </si>
  <si>
    <t>8082</t>
  </si>
  <si>
    <t>8082 - Gesundheitsdienste - Heimpflegedienste</t>
  </si>
  <si>
    <t>8092</t>
  </si>
  <si>
    <t>8092 - Gesundheitsdienste - Dialysezentren</t>
  </si>
  <si>
    <t>8093</t>
  </si>
  <si>
    <t>8093 - Gesundheitsdienste - Sonstige ambulante ärztliche Versorgung</t>
  </si>
  <si>
    <t>8099</t>
  </si>
  <si>
    <t>8099 - Gesundheitsdienste - Sonstige Gesundheits- u. verw. Dienstleistungen</t>
  </si>
  <si>
    <t>8111</t>
  </si>
  <si>
    <t>8111 - Juristische Dienstleistungen - Juristische Dienstleistungen</t>
  </si>
  <si>
    <t>8211</t>
  </si>
  <si>
    <t>8211 - Bildungswesen - Internate, Kindergärten, Grund- u. Hauptschulen, höhere Schulen</t>
  </si>
  <si>
    <t>8221</t>
  </si>
  <si>
    <t>8221 - Bildungswesen - Universitäten u. Hochschulen</t>
  </si>
  <si>
    <t>8222</t>
  </si>
  <si>
    <t>8222 - Bildungswesen - Progymnasien u. techn. Fachschulen, Fachhochschulen</t>
  </si>
  <si>
    <t>8231</t>
  </si>
  <si>
    <t>8231 - Bildungswesen - Bibliotheken u. Informationszentren</t>
  </si>
  <si>
    <t>8243</t>
  </si>
  <si>
    <t>8243 - Bildungswesen - Schulen für Datenverarbeitung</t>
  </si>
  <si>
    <t>8244</t>
  </si>
  <si>
    <t>8244 - Bildungswesen - Wirtschaftsfach- u. Sekretärinnenschulen, Handelsschulen</t>
  </si>
  <si>
    <t>8249</t>
  </si>
  <si>
    <t>8249 - Bildungswesen - Berufsschulen außer Fachoberschulen</t>
  </si>
  <si>
    <t>8299</t>
  </si>
  <si>
    <t>8299 - Bildungswesen - Sonstige Schulen u. Ausbildungsstätten</t>
  </si>
  <si>
    <t>8322</t>
  </si>
  <si>
    <t>8322 - Soziale Einrichtungen - Soziale Einrichtungen f. Alleinstehende u. Familien</t>
  </si>
  <si>
    <t>8331</t>
  </si>
  <si>
    <t>8331 - Soziale Einrichtungen - Berufstraining u. berufliche Wiedereingliederung</t>
  </si>
  <si>
    <t>8351</t>
  </si>
  <si>
    <t>8351 - Soziale Einrichtungen - Kindertagesstätten</t>
  </si>
  <si>
    <t>8361</t>
  </si>
  <si>
    <t>8361 - Soziale Einrichtungen - Alters-, Pflege- u. Kinderheime, Kinderdörfer</t>
  </si>
  <si>
    <t>8399</t>
  </si>
  <si>
    <t>8399 - Soziale Einrichtungen - Sonstige soziale Einrichtungen</t>
  </si>
  <si>
    <t>8412</t>
  </si>
  <si>
    <t>8412 - Museen, Galerien, botanische und zoologische Gärten - Museen u. Galerien</t>
  </si>
  <si>
    <t>8422</t>
  </si>
  <si>
    <t>8422 - Museen, Galerien, botanische und zoologische Gärten - Botanische und Zoologische Gärten</t>
  </si>
  <si>
    <t>8611</t>
  </si>
  <si>
    <t>8611 - Vereine, Verbände, gemeinnützige Organisationen - Fachverbände</t>
  </si>
  <si>
    <t>8621</t>
  </si>
  <si>
    <t>8621 - Vereine, Verbände, gemeinnützige Organisationen - Berufsverbände</t>
  </si>
  <si>
    <t>8631</t>
  </si>
  <si>
    <t>8631 - Vereine, Verbände, gemeinnützige Organisationen - Gewerkschaften u. Arbeiterverbände</t>
  </si>
  <si>
    <t>8641</t>
  </si>
  <si>
    <t>8641 - Vereine, Verbände, gemeinnützige Organisationen - Vereine</t>
  </si>
  <si>
    <t>8651</t>
  </si>
  <si>
    <t>8651 - Vereine, Verbände, gemeinnützige Organisationen - Politische Organisationen</t>
  </si>
  <si>
    <t>8661</t>
  </si>
  <si>
    <t>8661 - Vereine, Verbände, gemeinnützige Organisationen - Religionsgemeinschaften</t>
  </si>
  <si>
    <t>8699</t>
  </si>
  <si>
    <t>8699 - Vereine, Verbände, gemeinnützige Organisationen - Sonstige Vereine u. Verbände</t>
  </si>
  <si>
    <t>8711</t>
  </si>
  <si>
    <t>8711 - Technische u. Management-Dienste - Technische Dienste</t>
  </si>
  <si>
    <t>8712</t>
  </si>
  <si>
    <t>8712 - Technische u. Management-Dienste - Architektendienste</t>
  </si>
  <si>
    <t>8713</t>
  </si>
  <si>
    <t>8713 - Technische u. Management-Dienste - Überwachungsdienste</t>
  </si>
  <si>
    <t>8721</t>
  </si>
  <si>
    <t>8721 - Technische u. Management-Dienste - Buchhaltungs-, Wirtschafts- u. Steuerprüfungsbüros</t>
  </si>
  <si>
    <t>8731</t>
  </si>
  <si>
    <t>8731 - Technische u. Management-Dienste - Gewerbliche physikalische u. biologische Forschungseinrichtungen</t>
  </si>
  <si>
    <t>8732</t>
  </si>
  <si>
    <t>8732 - Technische u. Management-Dienste - Gewerbliche ökonomische, soziologische und pädagogische Forschungseinr.</t>
  </si>
  <si>
    <t>8733</t>
  </si>
  <si>
    <t>8733 - Technische u. Management-Dienste - Nichtkommerzielle Forschungseinrichtungen</t>
  </si>
  <si>
    <t>8734</t>
  </si>
  <si>
    <t>8734 - Technische u. Management-Dienste - Prüflabors</t>
  </si>
  <si>
    <t>8741</t>
  </si>
  <si>
    <t>8741 - Technische u. Management-Dienste - Management-Dienste</t>
  </si>
  <si>
    <t>8742</t>
  </si>
  <si>
    <t>8742 - Technische u. Management-Dienste - Unternehmensberatung</t>
  </si>
  <si>
    <t>8743</t>
  </si>
  <si>
    <t>8743 - Technische u. Management-Dienste - Public relations Dienste</t>
  </si>
  <si>
    <t>8744</t>
  </si>
  <si>
    <t>8744 - Technische u. Management-Dienste - Management-Hilfsdienste</t>
  </si>
  <si>
    <t>8748</t>
  </si>
  <si>
    <t>8748 - Technische u. Management-Dienste - Sonstige Beratungsdienste</t>
  </si>
  <si>
    <t>8811</t>
  </si>
  <si>
    <t>8811 - Privathaushalte - Privathaushalte</t>
  </si>
  <si>
    <t>8999</t>
  </si>
  <si>
    <t>8999 - Sonstige Dienstleistungen - Sonstige Dienstleistungen</t>
  </si>
  <si>
    <t>9111</t>
  </si>
  <si>
    <t>9111 - Öffentliche Ämter und Dienste - Regierungsstellen (lokal, Land, Staat)</t>
  </si>
  <si>
    <t>9121</t>
  </si>
  <si>
    <t>9121 - Öffentliche Ämter und Dienste - Gesetzgeber</t>
  </si>
  <si>
    <t>9131</t>
  </si>
  <si>
    <t>9131 - Öffentliche Ämter und Dienste - Körperschaften u. Ämter (Legislative, Exekutive)</t>
  </si>
  <si>
    <t>9199</t>
  </si>
  <si>
    <t>9199 - Öffentliche Ämter und Dienste - Sonstige Regierungsstellen</t>
  </si>
  <si>
    <t>9211</t>
  </si>
  <si>
    <t>9211 - Justiz, öffentliche Sicherheit u. Ordnung - Gerichte (Amts- und Arbeitsgerichte)</t>
  </si>
  <si>
    <t>9221</t>
  </si>
  <si>
    <t>9221 - Justiz, öffentliche Sicherheit u. Ordnung - Polizeiwesen</t>
  </si>
  <si>
    <t>9222</t>
  </si>
  <si>
    <t>9222 - Justiz, öffentliche Sicherheit u. Ordnung - Rechtsberatung u. Strafverfolgung</t>
  </si>
  <si>
    <t>9223</t>
  </si>
  <si>
    <t>9223 - Justiz, öffentliche Sicherheit u. Ordnung - Gefängnisse, Justizvollzugseinrichtungen</t>
  </si>
  <si>
    <t>9224</t>
  </si>
  <si>
    <t>9224 - Justiz, öffentliche Sicherheit u. Ordnung - Feuerwehren</t>
  </si>
  <si>
    <t>9229</t>
  </si>
  <si>
    <t>9229 - Justiz, öffentliche Sicherheit u. Ordnung - Sonstige Behörden für öffentl. Ordnung u. Sicherheit</t>
  </si>
  <si>
    <t>9311</t>
  </si>
  <si>
    <t>9311 - Öffentliche Finanzen u. Steuern - Steuer- u. Finanzverwaltung, Geld-, Kredit- u. Währungspolitik</t>
  </si>
  <si>
    <t>9411</t>
  </si>
  <si>
    <t>9411 - Soziales - Verwaltung des Bildungswesens</t>
  </si>
  <si>
    <t>9431</t>
  </si>
  <si>
    <t>9431 - Soziales - Verwaltung des öffentl. Gesundheitswesens</t>
  </si>
  <si>
    <t>9441</t>
  </si>
  <si>
    <t>9441 - Soziales - Sozial- u. Arbeitsämter u. Verwaltungen</t>
  </si>
  <si>
    <t>9511</t>
  </si>
  <si>
    <t>9511 - Umweltschutz u. Wohnungsbau - Beseitigung u. Entsorgung v. Abfallstoffen (Umweltschutz)</t>
  </si>
  <si>
    <t>9512</t>
  </si>
  <si>
    <t>9512 - Umweltschutz u. Wohnungsbau - Landschafts-, Boden- u. Naturschutz</t>
  </si>
  <si>
    <t>9531</t>
  </si>
  <si>
    <t>9531 - Umweltschutz u. Wohnungsbau - Wohnungswesen, Wohnungsbauprogramme</t>
  </si>
  <si>
    <t>9532</t>
  </si>
  <si>
    <t>9532 - Umweltschutz u. Wohnungsbau - Stadtentwicklung, Städtebau</t>
  </si>
  <si>
    <t>9611</t>
  </si>
  <si>
    <t>9611 - Wirtschaft - Wirtschaftsförderung</t>
  </si>
  <si>
    <t>9621</t>
  </si>
  <si>
    <t>9621 - Wirtschaft - Verkehrswesen</t>
  </si>
  <si>
    <t>9631</t>
  </si>
  <si>
    <t>9631 - Wirtschaft - Verwaltung u. Beaufsichtigung öffentlicher Versorgungsbetriebe</t>
  </si>
  <si>
    <t>9641</t>
  </si>
  <si>
    <t>9641 - Wirtschaft - Landwirtschaftsverwaltung</t>
  </si>
  <si>
    <t>9651</t>
  </si>
  <si>
    <t>9651 - Wirtschaft - Aufsicht und Förderung einzelner Wirtschaftsbereiche</t>
  </si>
  <si>
    <t>9661</t>
  </si>
  <si>
    <t>9661 - Wirtschaft - Raumfahrt</t>
  </si>
  <si>
    <t>9711</t>
  </si>
  <si>
    <t>9711 - Nationale Sicherheit u. internationale Belange - Nationale Sicherheit (Bundesgrenzschutz usw.)</t>
  </si>
  <si>
    <t>9721</t>
  </si>
  <si>
    <t>9721 - Nationale Sicherheit u. internationale Belange - Außenpolitik</t>
  </si>
  <si>
    <t>9999</t>
  </si>
  <si>
    <t>9999 - Nicht klassifizierbare Einrichtungen - Nicht klassifizierbare Einrichtungen</t>
  </si>
  <si>
    <t>Code</t>
  </si>
  <si>
    <t>Klarname</t>
  </si>
  <si>
    <t>Zuordnung ROLAND TAW-Code</t>
  </si>
  <si>
    <t>Zusatz</t>
  </si>
  <si>
    <t>Zuschlags-Branchen Straf</t>
  </si>
  <si>
    <t>Ausschluss-Branchen Straf</t>
  </si>
  <si>
    <t>Ausschluss-Branchen Kartell</t>
  </si>
  <si>
    <t>01 - 09</t>
  </si>
  <si>
    <t>01 - 09 Land- und Forstwirtschaft</t>
  </si>
  <si>
    <t>TAW_BEZEICHNUNG</t>
  </si>
  <si>
    <t>TAW_CODE</t>
  </si>
  <si>
    <t>0100</t>
  </si>
  <si>
    <t>0100 --- Landwirtschaft Anbau ---</t>
  </si>
  <si>
    <t>Abfallwirtschaft - Sammlung, Transport</t>
  </si>
  <si>
    <t>6006</t>
  </si>
  <si>
    <t>Anfrage</t>
  </si>
  <si>
    <t>0001</t>
  </si>
  <si>
    <t>Abfallwirtschaft - Atommüll</t>
  </si>
  <si>
    <t>6008</t>
  </si>
  <si>
    <t>0111 Weizen</t>
  </si>
  <si>
    <t>9333</t>
  </si>
  <si>
    <t>Landwirtschaftlicher Betrieb</t>
  </si>
  <si>
    <t>Abfallwirtschaft - Verwertung (Recycling), Deponie</t>
  </si>
  <si>
    <t>6007</t>
  </si>
  <si>
    <t>0112 Reis</t>
  </si>
  <si>
    <t>Abwasserbeseitigung</t>
  </si>
  <si>
    <t>6004</t>
  </si>
  <si>
    <t>Ambulanter Pflegedienst/Altenpflegedienst</t>
  </si>
  <si>
    <t>5467</t>
  </si>
  <si>
    <t>0115 Mais</t>
  </si>
  <si>
    <t>Arzneimittelherstellung</t>
  </si>
  <si>
    <t>2460</t>
  </si>
  <si>
    <t>Anlagenberatungsbüro</t>
  </si>
  <si>
    <t>7001</t>
  </si>
  <si>
    <t>0116 Soyabohnen</t>
  </si>
  <si>
    <t>Asbestbe- und -verarbeitung</t>
  </si>
  <si>
    <t>Arzneimittelgroßhandel</t>
  </si>
  <si>
    <t>5405</t>
  </si>
  <si>
    <t>0119 Sonstige Getreide</t>
  </si>
  <si>
    <t>Klärwerk</t>
  </si>
  <si>
    <t>8418</t>
  </si>
  <si>
    <t>Asset Management (Vermögensverwaltung, Anlageberatung)</t>
  </si>
  <si>
    <t>7022</t>
  </si>
  <si>
    <t>Anlagenreinigung</t>
  </si>
  <si>
    <t>8012</t>
  </si>
  <si>
    <t>0131 Baumwolle</t>
  </si>
  <si>
    <t>Kraftfahrzeug-Verwertung</t>
  </si>
  <si>
    <t>4211</t>
  </si>
  <si>
    <t>Bank/Sparkasse</t>
  </si>
  <si>
    <t>7000</t>
  </si>
  <si>
    <t>0132 Tabak</t>
  </si>
  <si>
    <t>Lagerhaus/Lagereibetrieb - mit Gefahrgut</t>
  </si>
  <si>
    <t>6614</t>
  </si>
  <si>
    <t>Containerdienst</t>
  </si>
  <si>
    <t>8842</t>
  </si>
  <si>
    <t>0133 Zuckerpflanzen (-rohr, -rüben)</t>
  </si>
  <si>
    <t>Pharmazeutische Artikelherstellung</t>
  </si>
  <si>
    <t>2461</t>
  </si>
  <si>
    <t>Entsorgung</t>
  </si>
  <si>
    <t>1552</t>
  </si>
  <si>
    <t>0134 Kartoffeln</t>
  </si>
  <si>
    <t>Recyclingunternehmen</t>
  </si>
  <si>
    <t>1554</t>
  </si>
  <si>
    <t>Finanzberater/Finanzkaufmann</t>
  </si>
  <si>
    <t>7005</t>
  </si>
  <si>
    <t>Bauausführung/Bauhauptgewerbe</t>
  </si>
  <si>
    <t>7403</t>
  </si>
  <si>
    <t>0139 Sonstige Feldfrüchte, außer Getreide</t>
  </si>
  <si>
    <t>Spedition/Fuhrunternehmen - mit Gefahrgut/-lager</t>
  </si>
  <si>
    <t>6641</t>
  </si>
  <si>
    <t>Finanzvermittlungsbüro</t>
  </si>
  <si>
    <t>Baumarkt</t>
  </si>
  <si>
    <t>8048</t>
  </si>
  <si>
    <t>0161 Gemüse u. Melonen</t>
  </si>
  <si>
    <t>Transportunternehmen mit Gefahrgut</t>
  </si>
  <si>
    <t>Flughafen (Personenbeförderung)</t>
  </si>
  <si>
    <t>1458</t>
  </si>
  <si>
    <t>Baunebengewerbe</t>
  </si>
  <si>
    <t>7406</t>
  </si>
  <si>
    <t>0171 Beerenfrüchte</t>
  </si>
  <si>
    <t>Fondsgesellschaften (z.B. Immobilienfonds)</t>
  </si>
  <si>
    <t>8838</t>
  </si>
  <si>
    <t>Baustoffhandel</t>
  </si>
  <si>
    <t>7421</t>
  </si>
  <si>
    <t>0172 Weintrauben</t>
  </si>
  <si>
    <t>Heizölhandel</t>
  </si>
  <si>
    <t>Baustoffherstellung</t>
  </si>
  <si>
    <t>9619</t>
  </si>
  <si>
    <t>0173 Nüsse</t>
  </si>
  <si>
    <t>Investmentfonds</t>
  </si>
  <si>
    <t>7020</t>
  </si>
  <si>
    <t>Bauunternehmen</t>
  </si>
  <si>
    <t>7410</t>
  </si>
  <si>
    <t>0174 Zitrusfrüchte</t>
  </si>
  <si>
    <t>Investmentgesellschaft</t>
  </si>
  <si>
    <t>7008</t>
  </si>
  <si>
    <t>Betonwerk</t>
  </si>
  <si>
    <t>9645</t>
  </si>
  <si>
    <t>0175 Jährliche Baumfrüchte</t>
  </si>
  <si>
    <t>Kapitalanlagegesellschaft</t>
  </si>
  <si>
    <t>8839</t>
  </si>
  <si>
    <t>Brauerei</t>
  </si>
  <si>
    <t>2106</t>
  </si>
  <si>
    <t>0179 Sonstiges Obst und Nüsse</t>
  </si>
  <si>
    <t>Kommunen</t>
  </si>
  <si>
    <t>8840</t>
  </si>
  <si>
    <t>Brennerei</t>
  </si>
  <si>
    <t>2107</t>
  </si>
  <si>
    <t>0181 Gartengestaltung und Baumschulenerzeugnisse</t>
  </si>
  <si>
    <t>9315</t>
  </si>
  <si>
    <t>Garten-und Landschaftsbau</t>
  </si>
  <si>
    <t>Konkurs-/Insolvenzverwaltung</t>
  </si>
  <si>
    <t>7010</t>
  </si>
  <si>
    <t>0182 Feldfrüchte aus Treibhaus und Mistbeet</t>
  </si>
  <si>
    <t>Kraftstoffhandel/Brennstoffhandel</t>
  </si>
  <si>
    <t>4250</t>
  </si>
  <si>
    <t>Chemikalienhandel</t>
  </si>
  <si>
    <t>2455</t>
  </si>
  <si>
    <t>0191 Allgem. Landwirtschaft, Anbau</t>
  </si>
  <si>
    <t>Kraftstoffherstellung</t>
  </si>
  <si>
    <t>1537</t>
  </si>
  <si>
    <t>Chemikalienherstellung</t>
  </si>
  <si>
    <t>2454</t>
  </si>
  <si>
    <t>0192 Gartenbauspezialitäten</t>
  </si>
  <si>
    <t>Kraftwerk</t>
  </si>
  <si>
    <t>1001</t>
  </si>
  <si>
    <t>0200</t>
  </si>
  <si>
    <t>0200 --- Landwirtschaft Viehzucht ---</t>
  </si>
  <si>
    <t>Krankenhaus</t>
  </si>
  <si>
    <t>5450</t>
  </si>
  <si>
    <t>Drogerie</t>
  </si>
  <si>
    <t>5404</t>
  </si>
  <si>
    <t>0211 Rindvieh und Weidewirtschaft</t>
  </si>
  <si>
    <t>9351</t>
  </si>
  <si>
    <t>Tierzucht (Landwirt / Großbetriebe)</t>
  </si>
  <si>
    <t>Krankenkasse</t>
  </si>
  <si>
    <t>7099</t>
  </si>
  <si>
    <t>e-Commerce (Internet-Handel)</t>
  </si>
  <si>
    <t>8141</t>
  </si>
  <si>
    <t>0212 Rindvieh, ohne Weiden</t>
  </si>
  <si>
    <t>Mineralölhandel</t>
  </si>
  <si>
    <t>4249</t>
  </si>
  <si>
    <t>Einkaufszentrum/-markt oder Supermarkt</t>
  </si>
  <si>
    <t>8146</t>
  </si>
  <si>
    <t>0213 Schweinezucht</t>
  </si>
  <si>
    <t>Pharmazeutischer Handel</t>
  </si>
  <si>
    <t>2463</t>
  </si>
  <si>
    <t>Einrichtungshaus</t>
  </si>
  <si>
    <t>8147</t>
  </si>
  <si>
    <t>0214 Schaf- und Ziegenzucht</t>
  </si>
  <si>
    <t>Postagentur/Postbankagentur</t>
  </si>
  <si>
    <t>8612</t>
  </si>
  <si>
    <t>Einzelhandelsgeschäft</t>
  </si>
  <si>
    <t>8148</t>
  </si>
  <si>
    <t>0219 Viehzucht allgemein, außer Geflügel, Milchwirtschaft</t>
  </si>
  <si>
    <t>Rechtsanwalt (mit Strafrecht)</t>
  </si>
  <si>
    <t>7024</t>
  </si>
  <si>
    <t>Eisenwarenhandel</t>
  </si>
  <si>
    <t>8153</t>
  </si>
  <si>
    <t>0241 Milchwirtschaft</t>
  </si>
  <si>
    <t>Schwer- und Leichtathletik Verein</t>
  </si>
  <si>
    <t>B0007</t>
  </si>
  <si>
    <t>Elektronische Bauelementehandel</t>
  </si>
  <si>
    <t>8160</t>
  </si>
  <si>
    <t>0251 Brat-, Grill- und Masthähnchen</t>
  </si>
  <si>
    <t>Sportvereine ( Profis )</t>
  </si>
  <si>
    <t>7469</t>
  </si>
  <si>
    <t>Elektrowarenherstellung</t>
  </si>
  <si>
    <t>1590</t>
  </si>
  <si>
    <t>0252 Hühnereier</t>
  </si>
  <si>
    <t>Unternehmensberatung mit Finanzierungsberatung</t>
  </si>
  <si>
    <t>7027</t>
  </si>
  <si>
    <t>Energie-Erzeuger (Strom, Gas, Wasser)</t>
  </si>
  <si>
    <t>1007</t>
  </si>
  <si>
    <t>0253 Puten und Puteneier</t>
  </si>
  <si>
    <t>Vermögensberatung</t>
  </si>
  <si>
    <t>7019</t>
  </si>
  <si>
    <t>Energie-Versorger (Strom, Gas, Wasser)</t>
  </si>
  <si>
    <t>1008</t>
  </si>
  <si>
    <t>0254 Geflügelzucht und Brüterei</t>
  </si>
  <si>
    <t>Vermögensverwaltung</t>
  </si>
  <si>
    <t>7023</t>
  </si>
  <si>
    <t>0259 Sonstige Geflügel und Eier</t>
  </si>
  <si>
    <t>Versicherung</t>
  </si>
  <si>
    <t>7100</t>
  </si>
  <si>
    <t>Fassaden/Wandverkleidungen</t>
  </si>
  <si>
    <t>1214</t>
  </si>
  <si>
    <t>0271 Pelztiere und Kaninchen</t>
  </si>
  <si>
    <t>Versicherungsagentur</t>
  </si>
  <si>
    <t>7101</t>
  </si>
  <si>
    <t>Feinkostgeschäft</t>
  </si>
  <si>
    <t>8183</t>
  </si>
  <si>
    <t>0272 Pferde u. verwandte Tiere</t>
  </si>
  <si>
    <t>Versicherungsmakler</t>
  </si>
  <si>
    <t>7104</t>
  </si>
  <si>
    <t>Feinkostgroßhandel</t>
  </si>
  <si>
    <t>8184</t>
  </si>
  <si>
    <t>0273 Wassertierzucht</t>
  </si>
  <si>
    <t>Waffenhandel</t>
  </si>
  <si>
    <t>2446</t>
  </si>
  <si>
    <t>Fenster-/Türenherstellung</t>
  </si>
  <si>
    <t>2722</t>
  </si>
  <si>
    <t>0279 Tierzüchtereien für besondere Tierarten</t>
  </si>
  <si>
    <t>Waffenherstellung</t>
  </si>
  <si>
    <t>8851</t>
  </si>
  <si>
    <t>Filmapparateherstellung</t>
  </si>
  <si>
    <t>8209</t>
  </si>
  <si>
    <t>0291 Allgemeine Landwirtschaft, hauptsächl. Viehzucht</t>
  </si>
  <si>
    <t>Wettbüro</t>
  </si>
  <si>
    <t>8880</t>
  </si>
  <si>
    <t>0700</t>
  </si>
  <si>
    <t>0700 --- Landwirtschaftl. Dienstleistungen ---</t>
  </si>
  <si>
    <t>0002</t>
  </si>
  <si>
    <t>0711 Bodenvorbereitungsdienste</t>
  </si>
  <si>
    <t>0721 Anbau, Kultur u. Pflanzenschutz</t>
  </si>
  <si>
    <t>Förderanlagen/Aufzugherstellung</t>
  </si>
  <si>
    <t>1568</t>
  </si>
  <si>
    <t>0722 Ernte, hauptsächl. maschinell</t>
  </si>
  <si>
    <t>Funktelefonhandel</t>
  </si>
  <si>
    <t>8240</t>
  </si>
  <si>
    <t>0723 Feldfruchtpräparation z. Verkauf, außer Baumwollentkörnung</t>
  </si>
  <si>
    <t>Futtermittelherstellung</t>
  </si>
  <si>
    <t>9360</t>
  </si>
  <si>
    <t>0724 Baumwollentkörnung</t>
  </si>
  <si>
    <t>0741 Veterinärdienst f. lebend. Vieh, einschl. Tierpraxen u. -krankenhäuser</t>
  </si>
  <si>
    <t>6469</t>
  </si>
  <si>
    <t>Tierarzt</t>
  </si>
  <si>
    <t>Getränke-Herstellung</t>
  </si>
  <si>
    <t>2163</t>
  </si>
  <si>
    <t>0742 Veterinärdienst f. Spezial- u. Haustiere</t>
  </si>
  <si>
    <t>Glasbearbeitung/Glasverarbeitung</t>
  </si>
  <si>
    <t>9626</t>
  </si>
  <si>
    <t>0751 Viehzucht, Medizin, Betreuung, Qualitätsprüfung</t>
  </si>
  <si>
    <t>Glaserei</t>
  </si>
  <si>
    <t>8287</t>
  </si>
  <si>
    <t>0752</t>
  </si>
  <si>
    <t>0752 Tierdressuren, Tier-hotels, Hundepflegesalons usw.</t>
  </si>
  <si>
    <t>9350</t>
  </si>
  <si>
    <t>Tierzucht (Haustiere)</t>
  </si>
  <si>
    <t>Glasherstellung</t>
  </si>
  <si>
    <t>9625</t>
  </si>
  <si>
    <t>0761 Arbeitstrupps u. Mannschaftsführer für die Landwirtschaft</t>
  </si>
  <si>
    <t>Heißmangel</t>
  </si>
  <si>
    <t>6024</t>
  </si>
  <si>
    <t>0762 Verwaltung, Landwirtschaftl. Betrieb, Landwirtschaftl. Organisationsdienst</t>
  </si>
  <si>
    <t>0781 Landschaftsarchitektur, -beratung u. -planung</t>
  </si>
  <si>
    <t>Heizungsinstallationsbetrieb</t>
  </si>
  <si>
    <t>1281</t>
  </si>
  <si>
    <t>0782 Rasen- u. Gartenpflege</t>
  </si>
  <si>
    <t>Hochbau</t>
  </si>
  <si>
    <t>8337</t>
  </si>
  <si>
    <t>0783 Zierbäume u. Sträucher</t>
  </si>
  <si>
    <t>Hochbau und Tiefbau</t>
  </si>
  <si>
    <t>7411</t>
  </si>
  <si>
    <t>0800</t>
  </si>
  <si>
    <t>0800 --- Forstwirtschaft ---</t>
  </si>
  <si>
    <t>Hörgeräteakustiker</t>
  </si>
  <si>
    <t>8348</t>
  </si>
  <si>
    <t>0811 Nutzholzanbau</t>
  </si>
  <si>
    <t>1101</t>
  </si>
  <si>
    <t>Forstwirtschaftlicher Betrieb</t>
  </si>
  <si>
    <t>Immobilienhandel</t>
  </si>
  <si>
    <t>7301</t>
  </si>
  <si>
    <t>0831 Baumschulen und Forstprodukte</t>
  </si>
  <si>
    <t>8050</t>
  </si>
  <si>
    <t>Baumschule</t>
  </si>
  <si>
    <t>Immobilienverkauf</t>
  </si>
  <si>
    <t>7302</t>
  </si>
  <si>
    <t>0851 Forstwirtschaftl. Dienste</t>
  </si>
  <si>
    <t>Immobilienverwaltung</t>
  </si>
  <si>
    <t>7303</t>
  </si>
  <si>
    <t>0900</t>
  </si>
  <si>
    <t>0900 --- Fischerei, Jagd u. Fallenstellen ---</t>
  </si>
  <si>
    <t>Informationstechnik</t>
  </si>
  <si>
    <t>7455</t>
  </si>
  <si>
    <t>0912 Fische (Fischfang)</t>
  </si>
  <si>
    <t>9306</t>
  </si>
  <si>
    <t>Fischerei</t>
  </si>
  <si>
    <t>Internet-Handel/e-Commerce</t>
  </si>
  <si>
    <t>8372</t>
  </si>
  <si>
    <t>0913 Schalentiere (Krabben, Hummer, Shrimps, Austern)</t>
  </si>
  <si>
    <t>0919 Versch. Meeresprodukte (Perlen, Schildkröten, Wale)</t>
  </si>
  <si>
    <t>0921 Fischzucht u. -Konserven</t>
  </si>
  <si>
    <t>2197</t>
  </si>
  <si>
    <t>Konservenherstellung</t>
  </si>
  <si>
    <t>Kaffee-/Teehandel</t>
  </si>
  <si>
    <t>8384</t>
  </si>
  <si>
    <t>0971 Jagd u. Fallenstellerei, Wildschutz</t>
  </si>
  <si>
    <t>6909</t>
  </si>
  <si>
    <t>Bewachungsunternehmen</t>
  </si>
  <si>
    <t>Kaffeerösterei</t>
  </si>
  <si>
    <t>2198</t>
  </si>
  <si>
    <t>Karosseriebau</t>
  </si>
  <si>
    <t>1246</t>
  </si>
  <si>
    <t>10 - 14</t>
  </si>
  <si>
    <t>10 - 14 Bergbau und Energiegewinnung</t>
  </si>
  <si>
    <t>Kieswerk</t>
  </si>
  <si>
    <t>9618</t>
  </si>
  <si>
    <t>1000</t>
  </si>
  <si>
    <t>1000 --- Metallbergbau ---</t>
  </si>
  <si>
    <t>Kosmetikherstellung</t>
  </si>
  <si>
    <t>1011 Eisenerze</t>
  </si>
  <si>
    <t>Kraftfahrzeug-Elektrik</t>
  </si>
  <si>
    <t>4203</t>
  </si>
  <si>
    <t>1021 Kupfererze</t>
  </si>
  <si>
    <t>Kraftfahrzeugherstellung</t>
  </si>
  <si>
    <t>1518</t>
  </si>
  <si>
    <t>1031 Blei u. Zinkerze</t>
  </si>
  <si>
    <t>1041 Gold aus Erzadern</t>
  </si>
  <si>
    <t>1044 Silbererze</t>
  </si>
  <si>
    <t>1061 Erze für Ferrolegierungen, außer Vanadium</t>
  </si>
  <si>
    <t>1081 Nebendienste f. Erzbergbau, Bergbau f. fremde Rechnung</t>
  </si>
  <si>
    <t>Landmaschinenhandel</t>
  </si>
  <si>
    <t>3940</t>
  </si>
  <si>
    <t>1094 Uran-, Radium-, Vanadiumerze</t>
  </si>
  <si>
    <t>Landmaschinenherstellung</t>
  </si>
  <si>
    <t>3941</t>
  </si>
  <si>
    <t>1099 Andere Metallerze</t>
  </si>
  <si>
    <t>Lebensmittelhandel</t>
  </si>
  <si>
    <t>3910</t>
  </si>
  <si>
    <t>1200</t>
  </si>
  <si>
    <t>1200 --- Kohlebergbau ---</t>
  </si>
  <si>
    <t>Lebensmittelherstellung</t>
  </si>
  <si>
    <t>2176</t>
  </si>
  <si>
    <t>1221 Stein- und Braunkohle-Tagebau</t>
  </si>
  <si>
    <t>Leuchtenhandel</t>
  </si>
  <si>
    <t>8472</t>
  </si>
  <si>
    <t>1222 Steinkohle-Untertagebau</t>
  </si>
  <si>
    <t>Logistik</t>
  </si>
  <si>
    <t>1231 Anthrazitbergbau</t>
  </si>
  <si>
    <t>Mälzerei</t>
  </si>
  <si>
    <t>2160</t>
  </si>
  <si>
    <t>1241 Kohlebergbaudienste</t>
  </si>
  <si>
    <t>Medizinische Apparate/Geräte (Handel)</t>
  </si>
  <si>
    <t>5458</t>
  </si>
  <si>
    <t>1300</t>
  </si>
  <si>
    <t>1300 --- Öl- u. Gasgewinnung ---</t>
  </si>
  <si>
    <t>Medizinische Apparate/Geräte (Herstellung)</t>
  </si>
  <si>
    <t>5459</t>
  </si>
  <si>
    <t>1311 Rohöl u. Erdgas</t>
  </si>
  <si>
    <t>Metzgerei</t>
  </si>
  <si>
    <t>2118</t>
  </si>
  <si>
    <t>1321 Flüssiges Erdgas</t>
  </si>
  <si>
    <t>1381 Öl-u. Gasbohrarbeiten</t>
  </si>
  <si>
    <t>Milchgroßhandel</t>
  </si>
  <si>
    <t>8512</t>
  </si>
  <si>
    <t>1382 Exploration von Öl-u. Gasvorkommen</t>
  </si>
  <si>
    <t>1389 Sonstige Öl-u. Erdgasfeld-Arbeiten</t>
  </si>
  <si>
    <t>Molkerei</t>
  </si>
  <si>
    <t>2194</t>
  </si>
  <si>
    <t>1400</t>
  </si>
  <si>
    <t>1400 --- Gewinnung von Steinen und Erden, außer Brennstoffen ---</t>
  </si>
  <si>
    <t>1411 Steingewinnung</t>
  </si>
  <si>
    <t>Steinbruch</t>
  </si>
  <si>
    <t>Mühlen</t>
  </si>
  <si>
    <t>1401</t>
  </si>
  <si>
    <t>1422 Zerkleinerter u. gebrochener Kalkstein</t>
  </si>
  <si>
    <t>1423 Zerkleinerter u. gebrochener Granit</t>
  </si>
  <si>
    <t>Obsthandel</t>
  </si>
  <si>
    <t>8552</t>
  </si>
  <si>
    <t>1429 Sonstiges zerkleinertes u. gebrochenes Gestein</t>
  </si>
  <si>
    <t>Online-Dienste</t>
  </si>
  <si>
    <t>8560</t>
  </si>
  <si>
    <t>1442 Bausand u. Kies</t>
  </si>
  <si>
    <t>Personalleasing-/ Zeitarbeitsunternehmen</t>
  </si>
  <si>
    <t>8578</t>
  </si>
  <si>
    <t>1446 Industriesand</t>
  </si>
  <si>
    <t>1455 Kaolin u. Bindeton</t>
  </si>
  <si>
    <t>1459 Sonstige Tonerde, Keramik u. feuerfeste Mineralien</t>
  </si>
  <si>
    <t>1474 Pottasche, Borate, Soda</t>
  </si>
  <si>
    <t>1475 Phosphatgestein</t>
  </si>
  <si>
    <t>Reifenherstellung</t>
  </si>
  <si>
    <t>4256</t>
  </si>
  <si>
    <t>1479 Abbau v. sonstigen Mineralien für die Chemie und für Düngemittel</t>
  </si>
  <si>
    <t>Sanitätsartikelhandel</t>
  </si>
  <si>
    <t>8667</t>
  </si>
  <si>
    <t>1481 Nichtmetallbergbaudienste (außer Brennstoffe)</t>
  </si>
  <si>
    <t>Schlachterei</t>
  </si>
  <si>
    <t>2193</t>
  </si>
  <si>
    <t>1499 verschied. Steine u. Erden (außer Brennstoffe)</t>
  </si>
  <si>
    <t>Schlachthaus</t>
  </si>
  <si>
    <t>8685</t>
  </si>
  <si>
    <t>15 - 17</t>
  </si>
  <si>
    <t>15 - 17 Baugewerbe</t>
  </si>
  <si>
    <t>1500</t>
  </si>
  <si>
    <t>1500 --- Bauunternehmen ---</t>
  </si>
  <si>
    <t>Spedition/Fuhrunternehmen - ohne Gefahrgut/-lager</t>
  </si>
  <si>
    <t>6640</t>
  </si>
  <si>
    <t>1521 Allgem. Bauunternehmen - Einfamilienhäuser</t>
  </si>
  <si>
    <t>Spirituosenbrennerei/Spirituosenherstellung</t>
  </si>
  <si>
    <t>2187</t>
  </si>
  <si>
    <t>1522 Allgem. Bauunternehmen - Wohnbauten, außer Einfamilienhäuser</t>
  </si>
  <si>
    <t>7423</t>
  </si>
  <si>
    <t>Wohnungsbaugesellschaften</t>
  </si>
  <si>
    <t>Stadtwerke - ohne Deponien</t>
  </si>
  <si>
    <t>8835</t>
  </si>
  <si>
    <t>1531 Bauträgergesellschaft f. eigene Rechnung zum späteren Verkauf von Objekten</t>
  </si>
  <si>
    <t>7409</t>
  </si>
  <si>
    <t>Bauträger</t>
  </si>
  <si>
    <t>Stahlbau (Großanlagen/Großkonstruktionen)</t>
  </si>
  <si>
    <t>8750</t>
  </si>
  <si>
    <t>1541 Allgem. Bauunternehmen - Industrie- u. Lagergebäude</t>
  </si>
  <si>
    <t>Straßenbau</t>
  </si>
  <si>
    <t>1701</t>
  </si>
  <si>
    <t>1542 Allgem. Bauunternehmen - keine Wohnhäuser, Industrie- u. Lagergebäude</t>
  </si>
  <si>
    <t>Tiefbau</t>
  </si>
  <si>
    <t>8798</t>
  </si>
  <si>
    <t>1600</t>
  </si>
  <si>
    <t>1600 --- Hoch- und Tiefbau (außer Wohnungsbau) ---</t>
  </si>
  <si>
    <t>Tiertransporte</t>
  </si>
  <si>
    <t>9352</t>
  </si>
  <si>
    <t>1611 Autobahn- u. Straßenbau, außer Straßenhochbauten</t>
  </si>
  <si>
    <t>1622 Brücken-, Tunnel- u. Straßenhochbau</t>
  </si>
  <si>
    <t>Transportunternehmen ohne Gefahrgut</t>
  </si>
  <si>
    <t>8813</t>
  </si>
  <si>
    <t>1623 Wasserbau, Abwasseranlagen, Leitungsbau, Fernmelde- u. Überlandleitungen</t>
  </si>
  <si>
    <t>Unterhaltungselektronikhandel</t>
  </si>
  <si>
    <t>8827</t>
  </si>
  <si>
    <t>1629 Sonstige Schwerkonstruktionen</t>
  </si>
  <si>
    <t>Unterhaltungselektronikherstellung und -handel</t>
  </si>
  <si>
    <t>1593</t>
  </si>
  <si>
    <t>1700</t>
  </si>
  <si>
    <t>1700 --- Dienstleistungen der Bauwirtschaft ---</t>
  </si>
  <si>
    <t>1711 Installation u. Heizungsbau, Klimaanlagen</t>
  </si>
  <si>
    <t>Versandhandel</t>
  </si>
  <si>
    <t>3909</t>
  </si>
  <si>
    <t>1721 Maler-, Tapezier- u. Dekorationsarbeiten</t>
  </si>
  <si>
    <t>1203</t>
  </si>
  <si>
    <t>Malerbetrieb</t>
  </si>
  <si>
    <t>1731 Elektroarbeiten</t>
  </si>
  <si>
    <t>8157</t>
  </si>
  <si>
    <t>Elektroinstallationsbetrieb</t>
  </si>
  <si>
    <t>1741 Maurer- u. Steinmetzarbeiten</t>
  </si>
  <si>
    <t>7412</t>
  </si>
  <si>
    <t>Maurer</t>
  </si>
  <si>
    <t>1742 Stuckarbeiten, akustische u. andere Isolierarbeiten</t>
  </si>
  <si>
    <t>1227</t>
  </si>
  <si>
    <t>Stukkateur/Verputzer</t>
  </si>
  <si>
    <t>Weinhandel</t>
  </si>
  <si>
    <t>8870</t>
  </si>
  <si>
    <t>1743 Terrazzo, Fliesenlegerei, Marmor- u. Mosaikarbeiten</t>
  </si>
  <si>
    <t>Fliesenlegebetrieb</t>
  </si>
  <si>
    <t>Weinkellerei</t>
  </si>
  <si>
    <t>8871</t>
  </si>
  <si>
    <t>1751 Zimmereibetriebe</t>
  </si>
  <si>
    <t>1287</t>
  </si>
  <si>
    <t>Zimmerei</t>
  </si>
  <si>
    <t>Wohnungsbaugenossenschaften</t>
  </si>
  <si>
    <t>7422</t>
  </si>
  <si>
    <t>1752 Fußbodenverlegung u. andere Fußbodenarbeiten</t>
  </si>
  <si>
    <t>1209</t>
  </si>
  <si>
    <t>Bodenverlegebetrieb</t>
  </si>
  <si>
    <t>1761 Dachdeckereien u. Blecharbeiten</t>
  </si>
  <si>
    <t>1212</t>
  </si>
  <si>
    <t>Dachdecker/Dachabdichtungen</t>
  </si>
  <si>
    <t>1771 Betonarbeiten</t>
  </si>
  <si>
    <t>1781 Wasserbohrungen</t>
  </si>
  <si>
    <t>1791 Stahlkonstruktionen</t>
  </si>
  <si>
    <t>1793 Glas- u. Verglasungsarbeiten</t>
  </si>
  <si>
    <t>1794 Ausschachtungsarbeiten</t>
  </si>
  <si>
    <t>1795 Abwrack- u. Abbrucharbeiten</t>
  </si>
  <si>
    <t>7401</t>
  </si>
  <si>
    <t>Abbruchbetrieb</t>
  </si>
  <si>
    <t>1796 Installation oder Aufbau von Baugeräten</t>
  </si>
  <si>
    <t>1799 Sonstige baugewerbliche Spezialarbeiten</t>
  </si>
  <si>
    <t>20 - 29</t>
  </si>
  <si>
    <t>20 - 29 Hersteller von Konsumgütern</t>
  </si>
  <si>
    <t>2000</t>
  </si>
  <si>
    <t>2000 --- Lebensmittel- und verwandte Produkte ---</t>
  </si>
  <si>
    <t>2011 Fleischverpackungsanlagen</t>
  </si>
  <si>
    <t>2013 Wurst u. andere Fleischprodukte</t>
  </si>
  <si>
    <t>8223</t>
  </si>
  <si>
    <t>Fleischerei</t>
  </si>
  <si>
    <t>2015 Geflügelverarbeitung</t>
  </si>
  <si>
    <t>2021 Molkereibutter</t>
  </si>
  <si>
    <t>2022 Käse, naturbelassen u. bearbeitet</t>
  </si>
  <si>
    <t>2023 Evaporierte u. Kondensmilch</t>
  </si>
  <si>
    <t>2024 Eiscreme u. Eisdesserts</t>
  </si>
  <si>
    <t>2026 Milch (außer Trockenmilch)</t>
  </si>
  <si>
    <t>2032 Konservenspezialitäten</t>
  </si>
  <si>
    <t>2033 Obst- u. Gemüsekonserven, Marmeladen, Gelees</t>
  </si>
  <si>
    <t>9363</t>
  </si>
  <si>
    <t>Gemüse-/Obstverwertung</t>
  </si>
  <si>
    <t>2034 Trockengemüse u. -früchte, Trockensuppen</t>
  </si>
  <si>
    <t>2035 Essigfrüchte u. -gemüse, Gemüsesaucen, Gewürze, Salatsaucen</t>
  </si>
  <si>
    <t>2037 Tiefgefrorenes Obst u. Gemüse, Fruchtsäfte</t>
  </si>
  <si>
    <t>2038 Sonstige Tiefkühlspezialitäten</t>
  </si>
  <si>
    <t>2041 Mehl- u. andere Mühlenprodukte</t>
  </si>
  <si>
    <t>2043 Getreideflocken</t>
  </si>
  <si>
    <t>2044 Reisprodukte</t>
  </si>
  <si>
    <t>2045 Backmischungen und Teige</t>
  </si>
  <si>
    <t>2046 Naßgetreidemühlen</t>
  </si>
  <si>
    <t>2047 Hunde- und Katzenfutter</t>
  </si>
  <si>
    <t>2048 Futterpräparate u. Ingredienzen für Vieh u. Geflügel</t>
  </si>
  <si>
    <t>2051 Brot- u. andere Backwaren, außer Keksen u. Crackers</t>
  </si>
  <si>
    <t>2052 Kekse und Crackers</t>
  </si>
  <si>
    <t>2053 Tiefkühlbackwaren (außer Brot)</t>
  </si>
  <si>
    <t>2061 Rohrzucker, außer Raffinerie</t>
  </si>
  <si>
    <t>2062 Rohrzuckerraffinerie</t>
  </si>
  <si>
    <t>2063 Rübenzucker</t>
  </si>
  <si>
    <t>2064 Bonbons u. andere Süßwaren, Konditorwaren</t>
  </si>
  <si>
    <t>2066 Schokolade u. Kakaoprodukte</t>
  </si>
  <si>
    <t>2067 Kaugummi</t>
  </si>
  <si>
    <t>2068 Gesalzene und geröstete Nüsse</t>
  </si>
  <si>
    <t>2074 Baumwollsamenöl-Mühlen</t>
  </si>
  <si>
    <t>2075 Soyaölmühlen</t>
  </si>
  <si>
    <t>2076 Pflanzenölmühlen, außer Baumwollsamen-, Soya- u. Maisöl</t>
  </si>
  <si>
    <t>2077 Tierische Fette, Fischöle</t>
  </si>
  <si>
    <t>2079 Sonstige Speisefette, Tafelöle, Margarine u. andere eßbare Fette u. Öle</t>
  </si>
  <si>
    <t>2082 Malzgetränke, Brauerei</t>
  </si>
  <si>
    <t>2083 Malz</t>
  </si>
  <si>
    <t>2084 Wein, Weinbrand u. Spirituosen</t>
  </si>
  <si>
    <t>8868</t>
  </si>
  <si>
    <t>Weinbau</t>
  </si>
  <si>
    <t>2085 Destillierter, verschnittener Alkohol, Likör, Whisky, Gin</t>
  </si>
  <si>
    <t>2086 Abgefüllte Limonaden u. Sprudel in Flaschen u. Dosen</t>
  </si>
  <si>
    <t>2087 Sonstige Aroma-Extrakte, Sirup</t>
  </si>
  <si>
    <t>2091 Fisch- u. Meeresfruchtkonserven, Räucherfisch</t>
  </si>
  <si>
    <t>2092 Abgepackter Frisch- oder Gefrierfisch u. Meeresfrüchte</t>
  </si>
  <si>
    <t>2095 Röstkaffee</t>
  </si>
  <si>
    <t>2096 Kartoffelchips, Snacks</t>
  </si>
  <si>
    <t>2097 Speiseeis</t>
  </si>
  <si>
    <t>2098 Makkaroni, Spaghetti, Nudeln, Suppeneinlagen</t>
  </si>
  <si>
    <t>2099 Sonstige Lebensmittelprodukte</t>
  </si>
  <si>
    <t>2100</t>
  </si>
  <si>
    <t>2100 --- Tabakprodukte ---</t>
  </si>
  <si>
    <t>2111 Zigaretten</t>
  </si>
  <si>
    <t>2121 Zigarren</t>
  </si>
  <si>
    <t>2131 Tabak (Rauch- u. Kautabak), Schnupftabak</t>
  </si>
  <si>
    <t>2141 Tabaktrocknung u. Entstielung</t>
  </si>
  <si>
    <t>2200</t>
  </si>
  <si>
    <t>2200 --- Textilprodukte ---</t>
  </si>
  <si>
    <t>2211 Breitgewebe, Baumwolle</t>
  </si>
  <si>
    <t>3381</t>
  </si>
  <si>
    <t>Textilwarenherstellung</t>
  </si>
  <si>
    <t>2221 Breitgewebe aus Kunstfasern u. Seide</t>
  </si>
  <si>
    <t>2231 Breitgewebefabriken, Wolle (einschl. Färberei u. Finishing)</t>
  </si>
  <si>
    <t>2241 Schmalwebereien u. andere Kleintextilienhersteller</t>
  </si>
  <si>
    <t>2251 Damenstrümpfe (lang) u. Kniestrümpfe</t>
  </si>
  <si>
    <t>2252 Sonstige Strumpfwaren, außer Damenstrümpfen (lang u. Kniestrümpfe)</t>
  </si>
  <si>
    <t>2253 Strick-Oberbekleidung</t>
  </si>
  <si>
    <t>2254 Strick-Unterbekleidung</t>
  </si>
  <si>
    <t>2257 Rundstrickfabriken, Jersey cloth</t>
  </si>
  <si>
    <t>2258 Kettengewirke</t>
  </si>
  <si>
    <t>2259 Sonstige Strickereien</t>
  </si>
  <si>
    <t>2261 Endbearbeitung u. Ausrüstung von Breitgeweben aus Baumwolle</t>
  </si>
  <si>
    <t>2262 Endbearbeitung u. Ausrüstung von Breitgeweben aus Kunstfasern u. Seide</t>
  </si>
  <si>
    <t>2269 Sonstige Textilendbearbeitung u. Ausrüstung</t>
  </si>
  <si>
    <t>2273 Teppiche u. Läufer</t>
  </si>
  <si>
    <t>2281 Garnspinnereien</t>
  </si>
  <si>
    <t>2282 Garntexturierung, Zwirnereien u. Veredlung</t>
  </si>
  <si>
    <t>2284 Nähgarnfabriken, Nähseide</t>
  </si>
  <si>
    <t>2295 Beschichtete Gewebe, nicht gummiert</t>
  </si>
  <si>
    <t>2296 Reifencord u. -Gewebe</t>
  </si>
  <si>
    <t>2297 Faservliesstoffe</t>
  </si>
  <si>
    <t>2298 Seilerei</t>
  </si>
  <si>
    <t>2299 Sonstige Textilwaren</t>
  </si>
  <si>
    <t>2300</t>
  </si>
  <si>
    <t>2300 --- Oberbekleidung und andere Fertigprodukte aus Stoff und ähnlichem Material ---</t>
  </si>
  <si>
    <t>2311 Herren- u. Knabenanzüge, Jacken u. Mäntel, Uniformen</t>
  </si>
  <si>
    <t>2321 Herren-, Twen- u. Knabenhemden (außer Arbeitshemden)</t>
  </si>
  <si>
    <t>2322 Herren- u. Knabenunterwäsche, Nachtwäsche</t>
  </si>
  <si>
    <t>2323 Herren- u. Knabenschals, Halstücher, Krawatten</t>
  </si>
  <si>
    <t>2325 Herren-, Twen- u. Knabenhosen</t>
  </si>
  <si>
    <t>2326 Herren- u. Knabenarbeitskleidung</t>
  </si>
  <si>
    <t>2329 Sonstige Herren-, Twen- u. Knabenbekleidung</t>
  </si>
  <si>
    <t>2331 Damen- u. Mädchenblusen u. Hemden</t>
  </si>
  <si>
    <t>2335 Damen- u. Mädchenkleider</t>
  </si>
  <si>
    <t>2337 Damen- u. Mädchenmäntel, -Röcke u. -Anzüge, -Kostüme, Uniformen</t>
  </si>
  <si>
    <t>2339 Sonstige Damen- u. Mädchenoberbekleidung</t>
  </si>
  <si>
    <t>2341 Unterwäsche für Damen, Mädchen u. Babies, Nachtwäsche</t>
  </si>
  <si>
    <t>2342 Miederwaren</t>
  </si>
  <si>
    <t>2353 Hüte, Kappen und Kopfbedeckungen</t>
  </si>
  <si>
    <t>2361 Mädchen- u. Kinderkleider, -blusen u. -hemden, Babykleider</t>
  </si>
  <si>
    <t>2369 Sonstige Mädchen- u. Kinderoberbekleidung, Babyoberbekleidung</t>
  </si>
  <si>
    <t>2371 Pelzwaren</t>
  </si>
  <si>
    <t>2381 Handschuhe, außer gestrickte u. Lederhandschuhen</t>
  </si>
  <si>
    <t>2384 Morgenröcke u. Hauskleidung, Bademäntel</t>
  </si>
  <si>
    <t>2385 Regenmäntel u. andere wasserdichte Oberbekleidung</t>
  </si>
  <si>
    <t>2386 Leder- u. lammfellgefütterte Oberbekleidung</t>
  </si>
  <si>
    <t>8468</t>
  </si>
  <si>
    <t>Lederbekleidungsfertigung</t>
  </si>
  <si>
    <t>2387 Gürtel</t>
  </si>
  <si>
    <t>2389 Sonstiges Bekleidungszubehör (Knöpfe, Schnallen etc.)</t>
  </si>
  <si>
    <t>2391 Gardinen, Vorhänge</t>
  </si>
  <si>
    <t>2392 Heimtextilien, außer Vorhängen u. Gardinen</t>
  </si>
  <si>
    <t>2393 Stoff-Tragetaschen</t>
  </si>
  <si>
    <t>2394 Segeltuch u. verwandte Stoffe, Zelte, Planen</t>
  </si>
  <si>
    <t>2395 Plissieren, Zierstepperei, Musterpresserei</t>
  </si>
  <si>
    <t>2396 Einfassungen, maschinelle Bortennäherei, Zubehör für Oberbekleidung etc.</t>
  </si>
  <si>
    <t>2397 Schiffli-Maschinenstickerei</t>
  </si>
  <si>
    <t>2399 Sonstige Textil-Fertigprodukte</t>
  </si>
  <si>
    <t>2400</t>
  </si>
  <si>
    <t>2400 --- Holzwaren, außer Möbeln ---</t>
  </si>
  <si>
    <t>2411 Holzfällerei</t>
  </si>
  <si>
    <t>8343</t>
  </si>
  <si>
    <t>Holzfäller</t>
  </si>
  <si>
    <t>2421 Säge- u. Hobelwerke</t>
  </si>
  <si>
    <t>2725</t>
  </si>
  <si>
    <t>Sägewerk</t>
  </si>
  <si>
    <t>2426 Hartholzschneiderei u. Parkettfabriken</t>
  </si>
  <si>
    <t>8339</t>
  </si>
  <si>
    <t>Holzbe- und verarbeitungsbetrieb</t>
  </si>
  <si>
    <t>2429 Sägemühlen für Spezialprodukte</t>
  </si>
  <si>
    <t>2431 Bauschreinereiprodukte, Holzverkleidung, Fensterrahmen</t>
  </si>
  <si>
    <t>2434 Küchenmöbel aus Holz</t>
  </si>
  <si>
    <t>2435 Hartholzfurnier u. Sperrholz</t>
  </si>
  <si>
    <t>2436 Weichholzfurnier u. Sperrholz</t>
  </si>
  <si>
    <t>2439 Sonstige Holzprodukte f. Bauzwecke (Fachwerk, Dachstühle, Balken)</t>
  </si>
  <si>
    <t>2441 Genagelte u. genietete Holzkästen u. Fächer u. Faßdauben</t>
  </si>
  <si>
    <t>2448 Holzpritschen u. Rutschen, Paletten</t>
  </si>
  <si>
    <t>2449 Sonstige Holzcontainer, Kisten</t>
  </si>
  <si>
    <t>2451 Wohnmobile, Schulzimmer (fahrbar)</t>
  </si>
  <si>
    <t>2452 Holzfertighäuser u. Fertigteile, Saunas, Holztrennwände</t>
  </si>
  <si>
    <t>2491 Holzimprägnierung</t>
  </si>
  <si>
    <t>2493 Spanplatten</t>
  </si>
  <si>
    <t>2499 Sonstige Holzprodukte</t>
  </si>
  <si>
    <t>2500</t>
  </si>
  <si>
    <t>2500 --- Möbel und Einrichtungsgegenstände ---</t>
  </si>
  <si>
    <t>2511 Hausmöbel aus Holz, außer Polstermöbeln</t>
  </si>
  <si>
    <t>8515</t>
  </si>
  <si>
    <t>Möbelschreinerei</t>
  </si>
  <si>
    <t>2512 Hausmöbel aus Holz, gepolstert</t>
  </si>
  <si>
    <t>2514 Metall-Haushaltsmöbel, Einbauküchen</t>
  </si>
  <si>
    <t>2515 Matratzen u. Sprungfedern f. Betten</t>
  </si>
  <si>
    <t>2517 Holzgehäuse für Fernseh- u. Radiogeräte, Plattenspieler, Nähmaschinen</t>
  </si>
  <si>
    <t>2519 Sonstige Hausmöbel</t>
  </si>
  <si>
    <t>2521 Holz-Büromöbel</t>
  </si>
  <si>
    <t>2522 Büromöbel (außer Holz-)</t>
  </si>
  <si>
    <t>2531 Möbel für öffentliche Einrichtungen, Parkbänke usw.</t>
  </si>
  <si>
    <t>2541 Holztrennwände, Regale, Büro- u. Lagereinrichtungen</t>
  </si>
  <si>
    <t>2542 Trennwände, Regale, Büro- u. Lagereinrichtungen (außer Holz)</t>
  </si>
  <si>
    <t>2591 Metallwaren für Innenausstattung</t>
  </si>
  <si>
    <t>1601</t>
  </si>
  <si>
    <t>Metallwarenherstellung</t>
  </si>
  <si>
    <t>2599 Sonstige Möbel- u. Einrichtungsgegenstände</t>
  </si>
  <si>
    <t>2600</t>
  </si>
  <si>
    <t>2600 --- Papier und verwandte Produkte ---</t>
  </si>
  <si>
    <t>2611 Papiermassehersteller, Altpapieraufbereitung</t>
  </si>
  <si>
    <t>3048</t>
  </si>
  <si>
    <t>Papier-/Pappeverarbeitung</t>
  </si>
  <si>
    <t>2621 Papierfabriken</t>
  </si>
  <si>
    <t>2631 Kartonagenfabriken</t>
  </si>
  <si>
    <t>2652 Zusammensetzbare Kartons</t>
  </si>
  <si>
    <t>2653 Hartfaserplattenschachteln u. Wellpappkartons</t>
  </si>
  <si>
    <t>2655 Faserstoffbecher, Dosen, Trommeln etc.</t>
  </si>
  <si>
    <t>2656 Hygienische Lebensmittelbehälter (außer faltbare)</t>
  </si>
  <si>
    <t>Verpackungsbetrieb</t>
  </si>
  <si>
    <t>2657 Faltkartons (auch für Lebensmittel)</t>
  </si>
  <si>
    <t>2671 Packpapier u. Plastikfolie, beschichtet</t>
  </si>
  <si>
    <t>2672 Sonstige beschichtete Papiere</t>
  </si>
  <si>
    <t>2673 Plastikbeschichtete Tüten, Säcke und Beutel</t>
  </si>
  <si>
    <t>2763</t>
  </si>
  <si>
    <t>Kunststoffverarbeitung</t>
  </si>
  <si>
    <t>2674 Unbeschichtete u. mehrwandige Papiertüten, Tüten, Beutel, Säcke</t>
  </si>
  <si>
    <t>2675 Stanzpapier und Pappe</t>
  </si>
  <si>
    <t>2676 Hygienepapierprodukte</t>
  </si>
  <si>
    <t>2677 Briefumschläge</t>
  </si>
  <si>
    <t>2678 Schreibwaren, Schreibblöcke, verwandte Produkte</t>
  </si>
  <si>
    <t>2679 Sonstige Produkte aus verarbeitetem Papier</t>
  </si>
  <si>
    <t>2700</t>
  </si>
  <si>
    <t>2700 --- Druckereien, Verlage und verwandte Betriebe ---</t>
  </si>
  <si>
    <t>2711 Zeitungen: Verlag oder Verlag u. Druckerei</t>
  </si>
  <si>
    <t>3057</t>
  </si>
  <si>
    <t>Verlag</t>
  </si>
  <si>
    <t>2721 Zeitschriften: Verlag, Druckerei u. Verlag</t>
  </si>
  <si>
    <t>2731 Bücher: Verlag, Druckerei u. Verlag</t>
  </si>
  <si>
    <t>2732 Buchdruckerei</t>
  </si>
  <si>
    <t>3009</t>
  </si>
  <si>
    <t>Druckerei</t>
  </si>
  <si>
    <t>2741 Versch. Publikationen, Drucksachen f. gewerbl. Zwecke</t>
  </si>
  <si>
    <t>2752 Druckerzeugnisse f. gewerbl. Zwecke, Lithografie, Offsetdruck</t>
  </si>
  <si>
    <t>2754 Druckerzeugnisse f. gewerbl. Zwecke, Tiefdruck</t>
  </si>
  <si>
    <t>2759 Sonstige Druckerzeugnisse f. gewerbl. Zwecke</t>
  </si>
  <si>
    <t>2761 Versch. Geschäftsformulare</t>
  </si>
  <si>
    <t>2771 Grußkartenverlag</t>
  </si>
  <si>
    <t>2782 Hefte, Loseblattordner etc.</t>
  </si>
  <si>
    <t>2789 Buchbinder- u. verwandte Arbeiten</t>
  </si>
  <si>
    <t>8088</t>
  </si>
  <si>
    <t>Buchbinderei</t>
  </si>
  <si>
    <t>2791 Setzerei</t>
  </si>
  <si>
    <t>2796 Druckplattenherstellung u. verwandte Dienstleistungen</t>
  </si>
  <si>
    <t>2800</t>
  </si>
  <si>
    <t>2800 --- Chemikalien und verwandte Produkte ---</t>
  </si>
  <si>
    <t>2812 Alkali u. Chlor, Ätzmittel, Alkaliverbindungen</t>
  </si>
  <si>
    <t>2813 Industriegase</t>
  </si>
  <si>
    <t>2816 Anorganische Pigmente</t>
  </si>
  <si>
    <t>2819 Sonstige anorganische Industriechemikalien</t>
  </si>
  <si>
    <t>2821 Plastikmaterial, Kunstharz, nicht vulkanisierbare Elastomere</t>
  </si>
  <si>
    <t>2822 Synthetischer Gummi (vulkanisierbare Elastomere)</t>
  </si>
  <si>
    <t>2823 Zellulosehaltige Kunstfasern</t>
  </si>
  <si>
    <t>2824 Synthetische organische Fasern, außer Zellulose</t>
  </si>
  <si>
    <t>2833 Medizinische Chemikalien u. Pflanzenprodukte, Arzneimittel</t>
  </si>
  <si>
    <t>2834 Pharmazeutische Präparate</t>
  </si>
  <si>
    <t>2835 Diagnosepräparate</t>
  </si>
  <si>
    <t>2836 Biologische Produkte (außer Diagnosepräparate)</t>
  </si>
  <si>
    <t>2841 Seife u. andere Reinigungsmittel, außer Spezialreinigern</t>
  </si>
  <si>
    <t>2842 Spezialreiniger, Poliermittel u. hygienische Präparate</t>
  </si>
  <si>
    <t>2843 Oberflächenaktive Chemikalien, Hilfsstoffe, sulfurierte Öle</t>
  </si>
  <si>
    <t>2844 Kosmetikprodukte, Parfums u. andere Toilettenartikel</t>
  </si>
  <si>
    <t>2851 Farben, Lacke, Firnis, Emaille usw.</t>
  </si>
  <si>
    <t>2861 Gummi- u. Holzchemikalien</t>
  </si>
  <si>
    <t>2865 Farben, organische Pigmente, Toner, Rohstoffe</t>
  </si>
  <si>
    <t>2869 Sonstige organische Industriechemikalien</t>
  </si>
  <si>
    <t>2873 Stickstoffdünger</t>
  </si>
  <si>
    <t>2874 Phosphatdünger</t>
  </si>
  <si>
    <t>2875 Ausschl. Düngermischungen</t>
  </si>
  <si>
    <t>2879 Sonstige landwirtsch. Chemikalien, Schädlingsbekämpfungsmittel</t>
  </si>
  <si>
    <t>2891 Klebstoffe u. Versiegelungsmaterial, Dichtungs- u. Isoliermassen</t>
  </si>
  <si>
    <t>2892 Sprengstoffe</t>
  </si>
  <si>
    <t>2893 Druckfarben</t>
  </si>
  <si>
    <t>2895 Ruß</t>
  </si>
  <si>
    <t>2899 Sonstige Chemikalien u. chemische Präparate, Salz, Essenzen, Feuerwerk</t>
  </si>
  <si>
    <t>2900</t>
  </si>
  <si>
    <t>2900 --- Erdölraffinerie und verwandte Produkte ---</t>
  </si>
  <si>
    <t>2911 Erdölraffinerien</t>
  </si>
  <si>
    <t>2951 Asphaltmischungen und -Blöcke</t>
  </si>
  <si>
    <t>2952 Asphaltfilz u. Asphaltbeschichtungen</t>
  </si>
  <si>
    <t>2992 Schmieröle u. -Fette</t>
  </si>
  <si>
    <t>2999 Mineralöl- u. Kohleprodukte etc.</t>
  </si>
  <si>
    <t>30 - 39</t>
  </si>
  <si>
    <t>30 - 39 Hersteller von Investitionsgütern</t>
  </si>
  <si>
    <t>3000</t>
  </si>
  <si>
    <t>3000 --- Gummi und verschiedene Plastikprodukte ---</t>
  </si>
  <si>
    <t>3011 Reifen u. Schläuche</t>
  </si>
  <si>
    <t>2419</t>
  </si>
  <si>
    <t>Gummiwarenherstellung</t>
  </si>
  <si>
    <t>3021 Gummi- u. Plastikfußbekleidung</t>
  </si>
  <si>
    <t>3052 Gummi- u. Plastikschläuche u. -Riemen</t>
  </si>
  <si>
    <t>3053 Dichtungsringe, Dichtungs- u. Versiegelungsmaterial</t>
  </si>
  <si>
    <t>3061 Mechanische Gummiprodukte</t>
  </si>
  <si>
    <t>3069 Sonstige Gummiprodukte etc.</t>
  </si>
  <si>
    <t>3081 Unverstärkte Kunststoffolien und -platten</t>
  </si>
  <si>
    <t>3082 Unverstärkte Kunststoffprofile</t>
  </si>
  <si>
    <t>3083 Laminierte Kunststoffolien und -platten</t>
  </si>
  <si>
    <t>3084 Plastikröhren</t>
  </si>
  <si>
    <t>3085 Plastikflaschen</t>
  </si>
  <si>
    <t>3086 Schaumstoffprodukte</t>
  </si>
  <si>
    <t>3087 Verarbeitung von Kunstharzmischungen</t>
  </si>
  <si>
    <t>3088 Kunststoff-Installationsmaterial</t>
  </si>
  <si>
    <t>3089 Sonstige Plastikprodukte</t>
  </si>
  <si>
    <t>3100</t>
  </si>
  <si>
    <t>3100 --- Leder und Ledererzeugnisse ---</t>
  </si>
  <si>
    <t>3111 Ledergerberei u. -Bearbeitung, Fensterleder (Chamois)</t>
  </si>
  <si>
    <t>3337</t>
  </si>
  <si>
    <t>Lederwarenhandel</t>
  </si>
  <si>
    <t>3131 Schuh- u. Stiefelleder (zugeschnitten), Bedarf für die Schuhindustrie</t>
  </si>
  <si>
    <t>3142 Hausschuhe</t>
  </si>
  <si>
    <t>3143 Herrenschuhe (außer Sportschuhen)</t>
  </si>
  <si>
    <t>3144 Damenschuhe, außer Sportschuhen</t>
  </si>
  <si>
    <t>3149 Sonstige Fußbekleidung, außer Gummischuhen</t>
  </si>
  <si>
    <t>3151 Lederfinger- u. -fausthandschuhe</t>
  </si>
  <si>
    <t>3161 Lederkoffer u. Reisetaschen</t>
  </si>
  <si>
    <t>3171 Damenhandtaschen u. Börsen</t>
  </si>
  <si>
    <t>3172 Leder-Gebrauchsartikel, außer Damenhandtaschen u. Börsen</t>
  </si>
  <si>
    <t>3199 Sonstige Lederwaren etc., Pferdefuttertaschen</t>
  </si>
  <si>
    <t>3200</t>
  </si>
  <si>
    <t>3200 --- Stein-, Ton-, Glas- und Betonprodukte ---</t>
  </si>
  <si>
    <t>3211 Flachglas, Fensterglas, Bau- u. Spezialglas</t>
  </si>
  <si>
    <t>3221 Glasbehälter</t>
  </si>
  <si>
    <t>3229 Sonstiges Preßglas, geblasenes Glas, Glaswaren</t>
  </si>
  <si>
    <t>3231 Produkte aus gekauftem Glas, wissensch. Instrumente, Spiegel, Glastüren</t>
  </si>
  <si>
    <t>3241 Hydraulischer Zement, Portlandzement</t>
  </si>
  <si>
    <t>3251 Bausteine u. Bauteile aus Ton, Ziegeleierzeugnisse</t>
  </si>
  <si>
    <t>3253 Keramikwand- u. Bodenkacheln</t>
  </si>
  <si>
    <t>3255 Feuerfeste Teile aus Ton, Ziegeleierzeugnisse</t>
  </si>
  <si>
    <t>3259 Sonstige Bauteile aus Ton, Dachziegel, Schornsteine</t>
  </si>
  <si>
    <t>3261 Glasporzellan, Armaturen u. -Teile f. Badezimmereinrichtungen</t>
  </si>
  <si>
    <t>3262 Glasporzellangeschirr</t>
  </si>
  <si>
    <t>8608</t>
  </si>
  <si>
    <t>Porzellanherstellung</t>
  </si>
  <si>
    <t>3263 Feinkeramisches Geschirr u. Küchengeräte</t>
  </si>
  <si>
    <t>3264 Elektrobedarf aus Porzellan</t>
  </si>
  <si>
    <t>3269 Sonstige Töpfereiprodukte</t>
  </si>
  <si>
    <t>3271 Betonblöcke u. Bausteine</t>
  </si>
  <si>
    <t>3272 Betonprodukte, außer Blöcken u. Steinen</t>
  </si>
  <si>
    <t>3273 Fertigbeton</t>
  </si>
  <si>
    <t>3274 Kalk</t>
  </si>
  <si>
    <t>3275 Gipsprodukte</t>
  </si>
  <si>
    <t>8285</t>
  </si>
  <si>
    <t>Gipser</t>
  </si>
  <si>
    <t>3281 Zugeschnittene Steine u. Steinprodukte, Kalkstein, Marmor</t>
  </si>
  <si>
    <t>3291 Schleifmittel, Bimsstein</t>
  </si>
  <si>
    <t>3292 Asbestprodukte allgem.</t>
  </si>
  <si>
    <t>3295 Mineralien u. Erden, gemahlen oder anderweitig bearbeitet, Kaolin</t>
  </si>
  <si>
    <t>3296 Schlackenwolle, akustische Täfelung</t>
  </si>
  <si>
    <t>3297 Feuerfeste Materialien (außer Ton)</t>
  </si>
  <si>
    <t>3299 Sonstige nichtmetallische Mineralprodukte</t>
  </si>
  <si>
    <t>3300</t>
  </si>
  <si>
    <t>3300 --- Metallbearbeitung ---</t>
  </si>
  <si>
    <t>3312 Hochöfen (einschl. Kokereien), Stahl- u. Walzwerke</t>
  </si>
  <si>
    <t>1539</t>
  </si>
  <si>
    <t>Metallgewerbe</t>
  </si>
  <si>
    <t>3313 Elektrometallurgische Produkte, Eisenlegierungen (außer Stahl)</t>
  </si>
  <si>
    <t>3315 Stahldrahtzieherei, Nägel u. Spikes</t>
  </si>
  <si>
    <t>3316 Kaltgewalzte Stahlbleche, Bandstahl u. Barren</t>
  </si>
  <si>
    <t>3317 Stahlrohre</t>
  </si>
  <si>
    <t>3321 Graugießereien</t>
  </si>
  <si>
    <t>3322 Gießereien für Temperguß</t>
  </si>
  <si>
    <t>3324 Investmentgießereien, Stahl-Präzisionsformguß</t>
  </si>
  <si>
    <t>3325 Sonstige Stahlgießereien</t>
  </si>
  <si>
    <t>3331 Schmelzen u. Läutern von Kupfer</t>
  </si>
  <si>
    <t>3334 Aluminium-Erstbearbeitung</t>
  </si>
  <si>
    <t>3339 Schmelzen u. Läutern von Nichteisenmetallen, außer Kupfer u. Aluminium</t>
  </si>
  <si>
    <t>3341 Zweitschmelzen u. Läutern von Nichteisenmetallen</t>
  </si>
  <si>
    <t>3351 Walzen, Ziehen u. Strangpressen von Kupfer</t>
  </si>
  <si>
    <t>3353 Aluminiumbleche, -platten, -folien</t>
  </si>
  <si>
    <t>3354 Stranggepreßte Aluminiumprodukte</t>
  </si>
  <si>
    <t>3355 Sonstige Aluminiumwalz- u. Ziehwerke</t>
  </si>
  <si>
    <t>3356 Walzen, Ziehen u. Strangpressen von Nichteisenmetallen</t>
  </si>
  <si>
    <t>3357 Ziehen u. Isolieren von Nichteisendrähten, magnet. Draht, Kabel aller Art</t>
  </si>
  <si>
    <t>3363 Aluminiumgießerei (Druckgussverfahren)</t>
  </si>
  <si>
    <t>3365 Aluminiumgießerei (sonstige Herstellungsverfahren, z. B. Kokillenguss)</t>
  </si>
  <si>
    <t>3366 Messing-, Bronze-, Kupferarbeiten</t>
  </si>
  <si>
    <t>3369 Nichteisenmetall-Gießereien, (außer Aluminium u. Kupfer)</t>
  </si>
  <si>
    <t>3398 Wärmebehandlung von Metall</t>
  </si>
  <si>
    <t>3399 Sonstige Rohmetallprodukte</t>
  </si>
  <si>
    <t>3400</t>
  </si>
  <si>
    <t>3400 --- Metallwaren, außer Maschinen und Transporteinrichtungen ---</t>
  </si>
  <si>
    <t>3411 Büchsen u. Dosen</t>
  </si>
  <si>
    <t>3412 Metallfässer, -Trommeln, -Tonnen u. -Eimer, Rohre, Container</t>
  </si>
  <si>
    <t>3421 Messerwaren, Naßrasierapparate, Nagelfeilen, Rasierklingen</t>
  </si>
  <si>
    <t>3423 Hand- u. Schneidwerkzeuge, außer Werkzeugmaschinen u. Handsägen</t>
  </si>
  <si>
    <t>3425 Handsägen u. Sägeblätter</t>
  </si>
  <si>
    <t>3429 Sonstige Eisenwaren, Scharniere, Schlösser, Schlüssel usw.</t>
  </si>
  <si>
    <t>3431 Emaillierte Sanitärartikel aus Eisen u. Metall</t>
  </si>
  <si>
    <t>3432 Armaturen, Sprinkleranlagen (f. Rasen)</t>
  </si>
  <si>
    <t>3433 Heizgeräte (außer Elektro- u. Warmluftöfen), Gasbrenner, Ölöfen</t>
  </si>
  <si>
    <t>3441 Metallstrukturteile, Brückenteile, Radio- u. Fernsehtürme</t>
  </si>
  <si>
    <t>3442 Metalltüren, Schiebefenster, Rahmen, Zubehör</t>
  </si>
  <si>
    <t>3443 Blecharbeiten (Kesselbau), Tanklager, Kernkraftwerke, Akkumulatoren</t>
  </si>
  <si>
    <t>3444 Blechverarbeitung</t>
  </si>
  <si>
    <t>3446 Metallverzierungen, Architekturornamente, Bauzubehörteile aus Metall</t>
  </si>
  <si>
    <t>3448 Metallfertigbauten u. Bauteile, Fertighausbau</t>
  </si>
  <si>
    <t>3449 Versch. Metallbauteile</t>
  </si>
  <si>
    <t>3451 Drehteile</t>
  </si>
  <si>
    <t>3452 Bolzen, Nieten, Schrauben, Muttern, Federringe</t>
  </si>
  <si>
    <t>3462 Schmiedestücke aus Eisen und Stahl</t>
  </si>
  <si>
    <t>3463 Schmiedestücke aus Nichteisenmetallen</t>
  </si>
  <si>
    <t>3465 Stanzteile für Kfz</t>
  </si>
  <si>
    <t>3466 Kappen u. Verschlüsse</t>
  </si>
  <si>
    <t>3469 Sonstige Metallstanzartikel, porzellanüberzogene Artikel</t>
  </si>
  <si>
    <t>3471 Galvanisieren, Verchromen, Polieren, Eloxieren, Kolorieren von Metall</t>
  </si>
  <si>
    <t>3479 Oberflächenbearbeitung, Gravuren u. verwandte Arbeiten</t>
  </si>
  <si>
    <t>3482 Munition, für Handfeuerwaffen</t>
  </si>
  <si>
    <t>3483 Munition, außer für Handfeuerwaffen</t>
  </si>
  <si>
    <t>3484 Handfeuerwaffen</t>
  </si>
  <si>
    <t>3489 Sonstige Waffen u. Zubehör</t>
  </si>
  <si>
    <t>3491 Industrie-Ventile</t>
  </si>
  <si>
    <t>3492 Hydraulische Ventile, Schlauchfittings</t>
  </si>
  <si>
    <t>3493 Stahlsprungfedern, außer Draht, Spiralfedern</t>
  </si>
  <si>
    <t>3494 Sonstige Ventile u. Rohranschlußstücke</t>
  </si>
  <si>
    <t>3495 Drahtsprungfedern</t>
  </si>
  <si>
    <t>3496 Sonstige Drahtprodukte, Heftgeräte u. Heftklammern, Dosenöffner</t>
  </si>
  <si>
    <t>3497 Metallfolien</t>
  </si>
  <si>
    <t>3498 Fertigrohre u. Fittings</t>
  </si>
  <si>
    <t>3499 Sonstige Metallwaren, Sicherheitsschlösser</t>
  </si>
  <si>
    <t>3500</t>
  </si>
  <si>
    <t>3500 --- Maschinenbau und Computer ---</t>
  </si>
  <si>
    <t>3511 Turbinen- und Turbinengeneratorgruppen</t>
  </si>
  <si>
    <t>1566</t>
  </si>
  <si>
    <t>Maschinenbau</t>
  </si>
  <si>
    <t>3519 Sonstige Verbrennungsmotoren</t>
  </si>
  <si>
    <t>3523 Landmaschinen u. -Ausrüstung</t>
  </si>
  <si>
    <t>3524 Gartentraktoren, Rasen- u. Gartengeräte</t>
  </si>
  <si>
    <t>3531 Baumaschinen u. Ausrüstung, Planierraupen, Kräne, Mischmaschinen, Walzen, Traktoren usw.</t>
  </si>
  <si>
    <t>3532 Bergbaumaschinen u. Ausrüstung, außer Öl- u. Gasbohrmaschinen</t>
  </si>
  <si>
    <t>3533 Öl- u. Gasbohrmaschinen u. Ausrüstung</t>
  </si>
  <si>
    <t>3534 Aufzüge, Roll- und Fahrtreppen</t>
  </si>
  <si>
    <t>3535 Fördergeräte u. Zubehör, Förderbänder</t>
  </si>
  <si>
    <t>3536 Hebezeuge, Industriekräne u. Einschienensysteme, Flaschenzüge</t>
  </si>
  <si>
    <t>3537 Industrielastkraftwagen, Traktoren, Anhänger u. Stapler</t>
  </si>
  <si>
    <t>3541 Werkzeugmaschinen für die spanabhebende Metallbearbeitung</t>
  </si>
  <si>
    <t>3542 Werkzeugmaschinen zur Metallformung</t>
  </si>
  <si>
    <t>3543 Industriemuster</t>
  </si>
  <si>
    <t>3544 Spezialprägestempel u. Stanzstempel, Werkzeuge</t>
  </si>
  <si>
    <t>3545 Werkzeugmaschinenzubehör u. Meßeinrichtungen, Diamantschneidegeräte</t>
  </si>
  <si>
    <t>3546 Handwerkzeuge mit Hilfsantrieb, Preßlufthämmer, Schleifmaschinen</t>
  </si>
  <si>
    <t>3547 Walzwerksmaschinen</t>
  </si>
  <si>
    <t>3548 Elektro- u. Gasschweiß- u. Lötgeräte</t>
  </si>
  <si>
    <t>3549 Sonstige Metallbearbeitungsmaschinen, Brennschneidemaschinen</t>
  </si>
  <si>
    <t>3552 Textilmaschinen</t>
  </si>
  <si>
    <t>3553 Holzbearbeitungsmaschinen</t>
  </si>
  <si>
    <t>3554 Maschinen für die Papierindustrie</t>
  </si>
  <si>
    <t>3555 Druckereimaschinen u. Zubehör</t>
  </si>
  <si>
    <t>3556 Maschinen für die Lebensmittelindustrie</t>
  </si>
  <si>
    <t>3559 Sonstige Industrie-Spezialmaschinen</t>
  </si>
  <si>
    <t>3561 Pumpen u. Zubehör</t>
  </si>
  <si>
    <t>3562 Kugel- u. Rollenlager</t>
  </si>
  <si>
    <t>3563 Luft- u. Gaskompressoren, Farbspritzanlagen u. -pistolen</t>
  </si>
  <si>
    <t>3564 Gebläse, Ventilatoren, Luftreiniger</t>
  </si>
  <si>
    <t>3565 Verpackungsmaschinen</t>
  </si>
  <si>
    <t>3566 Gangschaltungen, Getriebe, industrielle Hochleistungsgetriebe</t>
  </si>
  <si>
    <t>3567 Industrieöfen</t>
  </si>
  <si>
    <t>3568 Mechanische Kraftübertragungsgeräte, Kupplungen</t>
  </si>
  <si>
    <t>3569 Sonstige Industriemaschinen u. Ausrüstung etc., Schmieranlagen</t>
  </si>
  <si>
    <t>3571 Computer</t>
  </si>
  <si>
    <t>7457</t>
  </si>
  <si>
    <t>Computerhandel/Computerlager</t>
  </si>
  <si>
    <t>3572 Datenspeichergeräte</t>
  </si>
  <si>
    <t>3575 Computer Terminals</t>
  </si>
  <si>
    <t>3577 Computer-Zubehör</t>
  </si>
  <si>
    <t>3578 Rechenmaschinen, nicht elektronisch</t>
  </si>
  <si>
    <t>3579 Sonstige Büromaschinen, Frankiermaschinen etc.</t>
  </si>
  <si>
    <t>3581 Verkaufsautomaten</t>
  </si>
  <si>
    <t>3582 Großwaschmaschinen, Reinigungs- u. Bügelmaschinen</t>
  </si>
  <si>
    <t>3585 Klimaanlagen, Warmwasserheizungen, industrielle Kühleinrichtungen</t>
  </si>
  <si>
    <t>3586 Ansaug- u. Zapfeinrichtungen</t>
  </si>
  <si>
    <t>3589 Sonstige Maschinen f. Dienstleistungsbetriebe, Autowaschanlagen</t>
  </si>
  <si>
    <t>3592 Vergaser, Kolben, Kolbenringe u. Ventile</t>
  </si>
  <si>
    <t>3593 Zylinder, Stellantriebe</t>
  </si>
  <si>
    <t>3594 Hydraulische Pumpen u. Motoren</t>
  </si>
  <si>
    <t>3596 Waagen, außer Laborwaagen</t>
  </si>
  <si>
    <t>3599 Sonstige Maschinen</t>
  </si>
  <si>
    <t>3600</t>
  </si>
  <si>
    <t>3600 --- Elektrische und elektronische Maschinen u. Apparate u. Zubehör ---</t>
  </si>
  <si>
    <t>3612 Stromtransformatoren, Verteiler, Spezialumformer, elektr. Apparate</t>
  </si>
  <si>
    <t>3613 Schaltgeräte u. Schalttafeln</t>
  </si>
  <si>
    <t>3621 Motoren u. Generatoren</t>
  </si>
  <si>
    <t>3624 Kohle- u. Graphitprodukte</t>
  </si>
  <si>
    <t>3625 Relais, Regler</t>
  </si>
  <si>
    <t>3629 Sonstige Elektr. Apparate f. d. Industrie</t>
  </si>
  <si>
    <t>3631 Haushaltsherde u. Kochgeräte</t>
  </si>
  <si>
    <t>3632 Haushaltskühlschränke u. Gefriereinrichtungen für Haushalt u. Landw.</t>
  </si>
  <si>
    <t>3633 Haushaltswaschmaschinen, Trockenschleudern</t>
  </si>
  <si>
    <t>3634 Elektr. Haushaltsgeräte u. Ventilatoren</t>
  </si>
  <si>
    <t>3635 Haushalts-Staubsauger</t>
  </si>
  <si>
    <t>3639 Sonstige Haushaltsgeräte</t>
  </si>
  <si>
    <t>3641 Glühbirnen u. Leuchtröhren</t>
  </si>
  <si>
    <t>3643 Elektr. Leitungen, elektr. Kontakte, Leitungszubehör</t>
  </si>
  <si>
    <t>3644 Stromlose Leitungen u. Zubehör</t>
  </si>
  <si>
    <t>3645 Elektr. Anlagen für Wohnhäuser, Lampen</t>
  </si>
  <si>
    <t>3646 Gewerbliche und sonstige Beleuchtungsanlagen</t>
  </si>
  <si>
    <t>3647 Elektr. Anlagen für Fahrzeuge</t>
  </si>
  <si>
    <t>3648 Sonstige Beleuchtungseinrichtungen</t>
  </si>
  <si>
    <t>3651 Haushalts-, Audio- u. Videogeräte</t>
  </si>
  <si>
    <t>3652 Schallplatten, bespielte Tonbänder u. Kassetten</t>
  </si>
  <si>
    <t>3661 Telefon- u. Telegrafenapparate, Fernschreiber</t>
  </si>
  <si>
    <t>3663 Radio- u. Fernseh-Sende- und -Empfangsgeräte</t>
  </si>
  <si>
    <t>3669 Sonstige Kommunikations-, Warn- u. Signalanlagen</t>
  </si>
  <si>
    <t>3671 Elektronenröhren</t>
  </si>
  <si>
    <t>3672 Gedruckte Schaltkreise</t>
  </si>
  <si>
    <t>3674 Halbleiter u. verwandte Artikel</t>
  </si>
  <si>
    <t>3675 Elektronische Kondensatoren</t>
  </si>
  <si>
    <t>3676 Elektr. Widerstände</t>
  </si>
  <si>
    <t>3677 Elektronische Wicklungen, Transformatoren u. andere Induktionsspulen</t>
  </si>
  <si>
    <t>3678 Elektr. Anschlußteile</t>
  </si>
  <si>
    <t>3679 Sonstige elektron. Bauteile</t>
  </si>
  <si>
    <t>3691 Speicherbatterien</t>
  </si>
  <si>
    <t>3692 Batterien, Primärbatterien, naß u. trocken</t>
  </si>
  <si>
    <t>3694 Elektrische Ausrüstung für Verbrennungsmotoren</t>
  </si>
  <si>
    <t>3695 Magnetische u. optische Speichermedien</t>
  </si>
  <si>
    <t>3699 Sonstige Elektromaschinen, elektrische Einrichtungen u. Anlagen</t>
  </si>
  <si>
    <t>3700</t>
  </si>
  <si>
    <t>3700 --- Transporteinrichtungen ---</t>
  </si>
  <si>
    <t>3711 Kfz, Kfz-Karosserien</t>
  </si>
  <si>
    <t>3713 Omnibus- u. Lkw-Karosserien</t>
  </si>
  <si>
    <t>3714 Kfz.-Zubehör u. Ersatzteile, Einzelteile</t>
  </si>
  <si>
    <t>3715 Lkw-Anhänger</t>
  </si>
  <si>
    <t>3716 Wohnmobile</t>
  </si>
  <si>
    <t>3721 Flugzeuge</t>
  </si>
  <si>
    <t>3724 Flugzeugmotoren u. Motorenteile</t>
  </si>
  <si>
    <t>3728 Sonstige Flugzeugteile u. Hilfseinrichtungen</t>
  </si>
  <si>
    <t>3731 Schiffsbau u. Reparatur</t>
  </si>
  <si>
    <t>6622</t>
  </si>
  <si>
    <t>Schiffsbau</t>
  </si>
  <si>
    <t>3732 Bootsbau u. -reparatur</t>
  </si>
  <si>
    <t>3743 Eisenbahnausrüstung</t>
  </si>
  <si>
    <t>3751 Motorräder, Fahrräder u. Motorrad- u. Fahrradteile</t>
  </si>
  <si>
    <t>3761 Raketen, Raumfahrzeuge, Lenkraketen</t>
  </si>
  <si>
    <t>3764 Raketen u. Raumfahrtantriebseinheiten u. -teile</t>
  </si>
  <si>
    <t>3769 Sonstige Raketen, Raumfahrzeugteile u. Hilfseinrichtungen</t>
  </si>
  <si>
    <t>3792 Wohnwagen u. -anhänger, Caravans usw.</t>
  </si>
  <si>
    <t>3795 Panzerfahrzeuge u. -Fahrzeugteile</t>
  </si>
  <si>
    <t>3799 Sonstige Transporteinrichtungen</t>
  </si>
  <si>
    <t>3800</t>
  </si>
  <si>
    <t>3800 --- Meß-, Prüf- und Kontrollinstrumente ---</t>
  </si>
  <si>
    <t>3812 Navigations- u. Suchgeräte</t>
  </si>
  <si>
    <t>1225</t>
  </si>
  <si>
    <t>Mess-und Regeltechnik</t>
  </si>
  <si>
    <t>3821 Laborgeräte u. -Einrichtungen</t>
  </si>
  <si>
    <t>3822 Automatische Meß- u. Regelgeräte</t>
  </si>
  <si>
    <t>3823 Meßinstrumente für industrielle Zwecke, Manometer, Thermometer</t>
  </si>
  <si>
    <t>3824 Flüssigkeitszähler u. Zählwerke</t>
  </si>
  <si>
    <t>3825 Meß- u. Prüfgeräte für Elektrotechnik</t>
  </si>
  <si>
    <t>3826 Labor-Analysegeräte</t>
  </si>
  <si>
    <t>3827 Optische Instrumente u. Linsen</t>
  </si>
  <si>
    <t>8488</t>
  </si>
  <si>
    <t>Medizinische Artikelherstellung</t>
  </si>
  <si>
    <t>3829 Sonstige Meß- u. Regelgeräte</t>
  </si>
  <si>
    <t>3841 Chirurgische u. medizinische Instrumente u. Apparate</t>
  </si>
  <si>
    <t>3842 Orthopädische u. medizinische Hilfsmittel u. Instrumente</t>
  </si>
  <si>
    <t>3843 Zahntechnische Geräte u. Materialien</t>
  </si>
  <si>
    <t>3844 Röntgenapparate u. -röhren</t>
  </si>
  <si>
    <t>3845 Elektrische Diagnose- u. Therapiegeräte</t>
  </si>
  <si>
    <t>3851 Augenoptische Artikel, Brillen</t>
  </si>
  <si>
    <t>8022</t>
  </si>
  <si>
    <t>Augenoptiker</t>
  </si>
  <si>
    <t>3861 Fotografische Ausrüstung, Microfilm, Fotokopiermaschinen</t>
  </si>
  <si>
    <t>8235</t>
  </si>
  <si>
    <t>Fotolabor</t>
  </si>
  <si>
    <t>3873 Uhren, Zähler (Apparate mit Uhrwerk) usw.</t>
  </si>
  <si>
    <t>3900</t>
  </si>
  <si>
    <t>3900 --- Verschiedene Hersteller-Industrien ---</t>
  </si>
  <si>
    <t>3911 Schmuck, Verzierungen aus Edelmetallen u. Edelsteinen</t>
  </si>
  <si>
    <t>Schmuckwarenherstellung/Schmuckwarenreparatur</t>
  </si>
  <si>
    <t>3914 Silberwaren, versilberte Artikel, Artikel aus rostfreiem Stahl, Bestecke</t>
  </si>
  <si>
    <t>3915 Juwelierbedarf u. -Material, Edelsteinbearbeitung</t>
  </si>
  <si>
    <t>3931 Musikinstrumente</t>
  </si>
  <si>
    <t>1572</t>
  </si>
  <si>
    <t>Musikinstrumentenhandel</t>
  </si>
  <si>
    <t>3942 Puppen, Plüschtiere</t>
  </si>
  <si>
    <t>3615</t>
  </si>
  <si>
    <t>Spielwarenherstellung</t>
  </si>
  <si>
    <t>3944 Spiele, Spielwaren, Kinderfahrzeuge, Eisenbahnen</t>
  </si>
  <si>
    <t>3949 Sonstige Sportartikel, Sporthandschuhe, Kegelbahnen, Schießanlagen</t>
  </si>
  <si>
    <t>3630</t>
  </si>
  <si>
    <t>Sportartikelherstellung</t>
  </si>
  <si>
    <t>3951 Federhalter, Drehbleistifte u. -Teile</t>
  </si>
  <si>
    <t>8568</t>
  </si>
  <si>
    <t>Papier-/Schreibwarenhandel</t>
  </si>
  <si>
    <t>3952 Blei- u. Farbstifte, Künstlerbedarf</t>
  </si>
  <si>
    <t>3953 Markierungseinrichtungen</t>
  </si>
  <si>
    <t>3955 Kohlepapier u. Farbbänder</t>
  </si>
  <si>
    <t>3961 Modeschmuck</t>
  </si>
  <si>
    <t>8518</t>
  </si>
  <si>
    <t>Modeschmuckhandel</t>
  </si>
  <si>
    <t>3965 Kurzwaren</t>
  </si>
  <si>
    <t>8691</t>
  </si>
  <si>
    <t>Schneiderei</t>
  </si>
  <si>
    <t>3991 Besen u. Bürsten, Zahnbürsten</t>
  </si>
  <si>
    <t>3993 Schilder u. Werbematerialien, Dekorationen, Leuchtschirme</t>
  </si>
  <si>
    <t>8682</t>
  </si>
  <si>
    <t>Schilderherstellung</t>
  </si>
  <si>
    <t>3995 Särge</t>
  </si>
  <si>
    <t>3996 Linoleum u. andere Hartbodenbeläge</t>
  </si>
  <si>
    <t>3999 Sonstige Hersteller: Gartenschirme, Feuerzeuge, Kerzen, Perücken, Bandmaße</t>
  </si>
  <si>
    <t>3345</t>
  </si>
  <si>
    <t>Perückenherstellung</t>
  </si>
  <si>
    <t>40 - 49</t>
  </si>
  <si>
    <t>40 - 49 Transport und Logistik</t>
  </si>
  <si>
    <t>4000</t>
  </si>
  <si>
    <t>4000 --- Bahntransporte ---</t>
  </si>
  <si>
    <t>4011 Eisenbahnlinien, Güterverkehr</t>
  </si>
  <si>
    <t>Zusatzfrage nach Gefahrgut</t>
  </si>
  <si>
    <t>4013 Betrieb von Umschlag-, Endfrachtstationen u. Rangierbahnhöfen</t>
  </si>
  <si>
    <t>4100</t>
  </si>
  <si>
    <t>4100 --- Orts- und Vorortverkehr, Straßen-Passagiertransporte ---</t>
  </si>
  <si>
    <t>4111 Öffentl. Nahverkehr, Straßen, U- u. S-Bahnen, Busse</t>
  </si>
  <si>
    <t>6616</t>
  </si>
  <si>
    <t>Personenbeförderung (nicht Flughafen)</t>
  </si>
  <si>
    <t>4119 Sonstiger öffentl. Nahverkehr</t>
  </si>
  <si>
    <t>4121 Taxibetriebe</t>
  </si>
  <si>
    <t>4131 Intercity-Buslinien, Überlandverkehrsbetriebe</t>
  </si>
  <si>
    <t>4141 Organisation von Busreisen bzw. Vermietung von Bussen für Kurzreisen</t>
  </si>
  <si>
    <t>4142 Organisation von Busreisen bzw. Vermietung von Bussen für Langstrecken</t>
  </si>
  <si>
    <t>4151 Schulbusse</t>
  </si>
  <si>
    <t>4173 Terminalbetriebe für Busverkehr</t>
  </si>
  <si>
    <t>4200</t>
  </si>
  <si>
    <t>4200 --- Straßentransporte und Lagerung ---</t>
  </si>
  <si>
    <t>4212 Straßengüternahverkehr ohne Lagerung</t>
  </si>
  <si>
    <t>4213 Straßengüterfernverkehr</t>
  </si>
  <si>
    <t>4214 Straßengüternahverkehr mit Lagerung</t>
  </si>
  <si>
    <t>4215 Kurierdienste (außer Luft-)</t>
  </si>
  <si>
    <t>4221 Lagerung u. Speicherung von landw. Produkten</t>
  </si>
  <si>
    <t>6613</t>
  </si>
  <si>
    <t>Lagerhaus/Lagereibetrieb - ohne Gefahrgut</t>
  </si>
  <si>
    <t>4222 Kühlhäuser</t>
  </si>
  <si>
    <t>4225 Allgemeine Lagerung u. Speicherung</t>
  </si>
  <si>
    <t>4226 Speziallager</t>
  </si>
  <si>
    <t>4231 Terminalbetriebe mit Wartung f. Speditionsfahrzeuge</t>
  </si>
  <si>
    <t>4300</t>
  </si>
  <si>
    <t>4300 --- Postdienst ---</t>
  </si>
  <si>
    <t>4311 Postdienst</t>
  </si>
  <si>
    <t>4400</t>
  </si>
  <si>
    <t>4400 --- Schiffahrt, Wassertransporte ---</t>
  </si>
  <si>
    <t>4412 Hochsee-Frachtschiffahrt</t>
  </si>
  <si>
    <t>6620</t>
  </si>
  <si>
    <t>Schifffahrtgesellschaft</t>
  </si>
  <si>
    <t>4424 Hochseefrachtschiffahrt Inland</t>
  </si>
  <si>
    <t>4432 Great Lakes St.Lawrence-Seeschiffahrt</t>
  </si>
  <si>
    <t>4449 Sonstige Frachschiffahrt</t>
  </si>
  <si>
    <t>4481 Hochsee-Passagierschiffahrt</t>
  </si>
  <si>
    <t>4482 Fähren</t>
  </si>
  <si>
    <t>4489 Sonstige Passagierschiffahrt</t>
  </si>
  <si>
    <t>4491 Seefrachtumschlag</t>
  </si>
  <si>
    <t>4492 Lotsen- u. Schleppdienste</t>
  </si>
  <si>
    <t>4493 Bootsvermietung u. -reparatur, Hafenlotsen usw.</t>
  </si>
  <si>
    <t>4499 Sonstige Schiffahrtdienste</t>
  </si>
  <si>
    <t>4500</t>
  </si>
  <si>
    <t>4500 --- Lufttransporte ---</t>
  </si>
  <si>
    <t>4512 Linienluftverkehr</t>
  </si>
  <si>
    <t>4513 Luftkurierdienste</t>
  </si>
  <si>
    <t>4522 außerplanmäßiger Luftverkehr</t>
  </si>
  <si>
    <t>4581 Flughäfen u. -plätze</t>
  </si>
  <si>
    <t>4583 Flughafen-Terminaldienst</t>
  </si>
  <si>
    <t>4600</t>
  </si>
  <si>
    <t>4600 --- Pipelines, außer Erdgas ---</t>
  </si>
  <si>
    <t>4612 Rohöl-Pipelines</t>
  </si>
  <si>
    <t>4613 Raffinerieöl-Pipelines</t>
  </si>
  <si>
    <t>4619 Sonstige Pipelines</t>
  </si>
  <si>
    <t>4700</t>
  </si>
  <si>
    <t>4700 --- Transportdienste ---</t>
  </si>
  <si>
    <t>4724 Reisebüros</t>
  </si>
  <si>
    <t>6618</t>
  </si>
  <si>
    <t>Reisebüro</t>
  </si>
  <si>
    <t>4725 Reiseveranstalter</t>
  </si>
  <si>
    <t>9051</t>
  </si>
  <si>
    <t>Reiseveranstalter</t>
  </si>
  <si>
    <t>4729 Sonstige Passagiertransportorganisationen</t>
  </si>
  <si>
    <t>4731 Fracht- u. Cargo-Transportorganisation</t>
  </si>
  <si>
    <t>4741 Vermietung von Eisenbahnwaggons</t>
  </si>
  <si>
    <t>4783 Verpackungsdienste</t>
  </si>
  <si>
    <t>4785 Maut-, Straßen, -tunnel, -brücken und Inspektions- u. Wiegedienste</t>
  </si>
  <si>
    <t>4789 Sonstige Transportdienste</t>
  </si>
  <si>
    <t>4800</t>
  </si>
  <si>
    <t>4800 --- Fernmeldeeinrichtungen ---</t>
  </si>
  <si>
    <t>4812 drahtlose Telekommunikation</t>
  </si>
  <si>
    <t>8198</t>
  </si>
  <si>
    <t>Fernsehtechniker</t>
  </si>
  <si>
    <t>4813 Telekommunikation (außer drahtlos)</t>
  </si>
  <si>
    <t>4822 Telegrafenverbindungen (drahtlos oder durch Draht)</t>
  </si>
  <si>
    <t>4832 Radiosendestationen</t>
  </si>
  <si>
    <t>4833 Fernsehsendestationen</t>
  </si>
  <si>
    <t>4841 Kabel- und Pay-TV</t>
  </si>
  <si>
    <t>4899 Sonstige Fernmeldedienste</t>
  </si>
  <si>
    <t>4900</t>
  </si>
  <si>
    <t>4900 --- Dienste auf dem Gebiet der Elektrizitäts-, Gas- u. sanitären Versorgung ---</t>
  </si>
  <si>
    <t>4911 Elektrizitätsgesellschaften u. -Systeme</t>
  </si>
  <si>
    <t>4922 Erdgasleitungen</t>
  </si>
  <si>
    <t>4923 Erdgasleitung u. -Verteilernetz</t>
  </si>
  <si>
    <t>4924 Erdgasverteilung</t>
  </si>
  <si>
    <t>4925 Erzeugung u. Verteilung von Misch-, Stadt- u. Flüssiggas</t>
  </si>
  <si>
    <t>4931 Elektrizitäts- u. andere öffentliche Versorgungsbetriebe</t>
  </si>
  <si>
    <t>4932 Gas- u. andere öffentliche Versorgungsbetriebe</t>
  </si>
  <si>
    <t>4939 Sonstige öffentliche Versorgungsdienste</t>
  </si>
  <si>
    <t>4941 Wasserversorgung</t>
  </si>
  <si>
    <t>4952 Abwassersysteme</t>
  </si>
  <si>
    <t>4953 Abfallbeseitigung</t>
  </si>
  <si>
    <t>4959 Sonstige öffentliche Sanitärdienste</t>
  </si>
  <si>
    <t>4961 Dampf- u. Klimaanlagen</t>
  </si>
  <si>
    <t>1585</t>
  </si>
  <si>
    <t>Klimageräteherstellung</t>
  </si>
  <si>
    <t>4971 Bewässerungssysteme, Wasserspeicher (Staubecken)</t>
  </si>
  <si>
    <t>50 - 51</t>
  </si>
  <si>
    <t>50 - 51 Großhandel</t>
  </si>
  <si>
    <t>5000</t>
  </si>
  <si>
    <t>5000 --- Großhandel; dauerhafte Güter, sowie Import- u. Exportgeschäfte ---</t>
  </si>
  <si>
    <t>5012 Kfz-Import und Export</t>
  </si>
  <si>
    <t>4202</t>
  </si>
  <si>
    <t>Kraftfahrzeug-Handel</t>
  </si>
  <si>
    <t>5013 Kfz-Ersatz- u. Zubehörteile</t>
  </si>
  <si>
    <t>5014 Reifen u. Schläuche</t>
  </si>
  <si>
    <t>5015 gebrauchte Kfz.-Teile</t>
  </si>
  <si>
    <t>5021 Möbel</t>
  </si>
  <si>
    <t>2720</t>
  </si>
  <si>
    <t>Möbelhandel</t>
  </si>
  <si>
    <t>5023 Wohnungsausstattungen, Glaswaren, Teppiche, Bodenbeläge, Gardinen</t>
  </si>
  <si>
    <t>1201</t>
  </si>
  <si>
    <t>Raumausstatter</t>
  </si>
  <si>
    <t>5031 Bau- u. Sperrholz, Spanplatten u. Bauschreinereiprodukte</t>
  </si>
  <si>
    <t>5032 Steine u. ähnliche Baumaterialien</t>
  </si>
  <si>
    <t>5033 Dachabdeckungen, Fassaden- u. Isolationsmaterial</t>
  </si>
  <si>
    <t>5039 Sonstiges Baumaterial, Flachglas, Steine</t>
  </si>
  <si>
    <t>5043 Fotoapparate und Zubehör</t>
  </si>
  <si>
    <t>8232</t>
  </si>
  <si>
    <t>Fotogeschäft</t>
  </si>
  <si>
    <t>5044 Büromaschinen</t>
  </si>
  <si>
    <t>3936</t>
  </si>
  <si>
    <t>Büromaschinenhandel</t>
  </si>
  <si>
    <t>5045 Computer, Computerzubehör u. Software</t>
  </si>
  <si>
    <t>5046 Sonstige Geschäftsausstattung</t>
  </si>
  <si>
    <t>8097</t>
  </si>
  <si>
    <t>Bürobedarfshandel</t>
  </si>
  <si>
    <t>5047 Ärztliche, Zahnärztliche u. Klinikgeräte und Bedarf</t>
  </si>
  <si>
    <t>5048 Augenoptikerbedarf</t>
  </si>
  <si>
    <t>5049 Sonstiger Berufsbedarf u. -ausrüstungen</t>
  </si>
  <si>
    <t>8056</t>
  </si>
  <si>
    <t>Bekleidungshaus</t>
  </si>
  <si>
    <t>5051 Metallwaren, Röhren u. Stahlbehälter, Kugellager, Wälzlager</t>
  </si>
  <si>
    <t>8507</t>
  </si>
  <si>
    <t>Metallwarenhandel</t>
  </si>
  <si>
    <t>5052 Eisenerz, Kohlen, Mineralien</t>
  </si>
  <si>
    <t>5063 Elektrische Apparate, Leitungen u. Elektrobauartikel, Motoren</t>
  </si>
  <si>
    <t>3939</t>
  </si>
  <si>
    <t>Elektrowarenhandel</t>
  </si>
  <si>
    <t>5064 Elektrische Apparate, Fernseh- u. Radiogeräte, Herde, Stereoanlagen</t>
  </si>
  <si>
    <t>5065 Sonstige elektronische Elemente u. Ausrüstung, Radioteile u. -Zubehör</t>
  </si>
  <si>
    <t>5072 Eisenwaren (allgemein), (Schrauben, Werkzeuge, Schneidwaren, Nägel usw.)</t>
  </si>
  <si>
    <t>5074 Klempnereibedarf, Heizungszubehör, Boiler</t>
  </si>
  <si>
    <t>8320</t>
  </si>
  <si>
    <t>Haushaltswarenhandel</t>
  </si>
  <si>
    <t>5075 Warmluftheizungen u. Klimaanlagen</t>
  </si>
  <si>
    <t>5078 Kühlanlagen u. Zubehör</t>
  </si>
  <si>
    <t>1560</t>
  </si>
  <si>
    <t>Kühlanlagenbau</t>
  </si>
  <si>
    <t>5082 Bau- u. Bergbaumaschinen u. Ausrüstung</t>
  </si>
  <si>
    <t>7419</t>
  </si>
  <si>
    <t>Baumaschinenhandel/Baugerätehandel</t>
  </si>
  <si>
    <t>5083 Landwirtschaftliche u. Gartenbaumaschinen u. Geräte</t>
  </si>
  <si>
    <t>5084 Industriemaschinen u. Ausrüstung, Pumpen, Gabelstapler, Farbspritzanlagen</t>
  </si>
  <si>
    <t>1567</t>
  </si>
  <si>
    <t>Maschinenhandel</t>
  </si>
  <si>
    <t>5085 Industriebedarf, Verpackungsmaterial, Druckfarben</t>
  </si>
  <si>
    <t>5087 Einrichtung u. Ausrüstung von Dienstleistungsunternehmen</t>
  </si>
  <si>
    <t>5088 Transportgeräte (allgemein), Schiffsausrüstungen, Flugzeuge u. -teile</t>
  </si>
  <si>
    <t>5091 Sport- u. Freizeitartikel</t>
  </si>
  <si>
    <t>Sportartikelhandel</t>
  </si>
  <si>
    <t>5092 Spielwaren u. Hobbyartikel</t>
  </si>
  <si>
    <t>3616</t>
  </si>
  <si>
    <t>Spielwarenhandel</t>
  </si>
  <si>
    <t>5093 Schrott u. Abfallmaterial</t>
  </si>
  <si>
    <t>8698</t>
  </si>
  <si>
    <t>Schrotthandel</t>
  </si>
  <si>
    <t>5094 Schmuck, Uhren, Brillanten u. andere Edelsteine</t>
  </si>
  <si>
    <t>8690</t>
  </si>
  <si>
    <t>Schmuckwarenhandel</t>
  </si>
  <si>
    <t>5099 Sonstige Gebrauchsgüter</t>
  </si>
  <si>
    <t>5100</t>
  </si>
  <si>
    <t>5100 --- Großhandel; Verbrauchsgüter, sowie Import- u. Exportgeschäfte ---</t>
  </si>
  <si>
    <t>5111 Druck- u. Schreibpapier</t>
  </si>
  <si>
    <t>5112 Schreibwaren u. Bürobedarf</t>
  </si>
  <si>
    <t>5113 Industrie- u. Haushaltspapier, Einweggeschirr, Pappe</t>
  </si>
  <si>
    <t>5122 Apothekerware, Pharmazeutika, Drogen, Drogeriewaren, Kosmetikartikel</t>
  </si>
  <si>
    <t>5131 Stoffe u. Kurzwaren</t>
  </si>
  <si>
    <t>3382</t>
  </si>
  <si>
    <t>Textilwarenhandel</t>
  </si>
  <si>
    <t>5136 Herren- u. Knabenbekleidung u. Ausstattung</t>
  </si>
  <si>
    <t>5137 Damen-, Kinder- u. Babyausstattung</t>
  </si>
  <si>
    <t>5139 Fußbekleidung</t>
  </si>
  <si>
    <t>3362</t>
  </si>
  <si>
    <t>Schuhhandel</t>
  </si>
  <si>
    <t>5141 Kolonialwaren, Lebensmittel, Gemischtwaren</t>
  </si>
  <si>
    <t>5142 Tiefkühlkost (abgepackt)</t>
  </si>
  <si>
    <t>5143 Molkereiprodukte (außer trocken u. Dosen)</t>
  </si>
  <si>
    <t>5144 Geflügel- u. Geflügelprodukte</t>
  </si>
  <si>
    <t>5145 Süßwaren, Nüsse, Kartoffelchips, Kaugummi</t>
  </si>
  <si>
    <t>5146 Fisch u. Schalentiere</t>
  </si>
  <si>
    <t>5147 Fleisch u. Fleischprodukte</t>
  </si>
  <si>
    <t>5148 Frischobst u. Gemüse</t>
  </si>
  <si>
    <t>5149 Sonstige Kolonialwaren u. verw. Artikel</t>
  </si>
  <si>
    <t>5153 Getreide u. Bohnen</t>
  </si>
  <si>
    <t>5154 Vieh</t>
  </si>
  <si>
    <t>3957</t>
  </si>
  <si>
    <t>Viehhandel</t>
  </si>
  <si>
    <t>5159 Sonstige landwirtschaftl. Produkte, Pelze u. Felle</t>
  </si>
  <si>
    <t>5162 Kunststoffgrundstoffe und -rohformen</t>
  </si>
  <si>
    <t>Kunststoffwarenhandel</t>
  </si>
  <si>
    <t>5169 Sonstige Chemikalien u. verw. Produkte</t>
  </si>
  <si>
    <t>5171 Erdölgroßvertriebsstellen u. Terminals</t>
  </si>
  <si>
    <t>5172 Erdöl u. Erdölprodukte, Heizöl, Rohöl, Petroleum, Benzin</t>
  </si>
  <si>
    <t>5181 Bier</t>
  </si>
  <si>
    <t>5182 Weine u. Spirituosen</t>
  </si>
  <si>
    <t>5191 Landwirtschaftliche Geräte, Kunstdünger, Samen usw.</t>
  </si>
  <si>
    <t>5192 Bücher, Zeitschriften, Zeitungen</t>
  </si>
  <si>
    <t>8090</t>
  </si>
  <si>
    <t>Buchhandel</t>
  </si>
  <si>
    <t>5193 Blumen, Floristenbedarf</t>
  </si>
  <si>
    <t>8074</t>
  </si>
  <si>
    <t>Blumengeschäft/Blumenhandel</t>
  </si>
  <si>
    <t>5194 Tabak u. Tabakprodukte</t>
  </si>
  <si>
    <t>2191</t>
  </si>
  <si>
    <t>Tabakwarenhandel</t>
  </si>
  <si>
    <t>5198 Farben, Lacke, Tapeten</t>
  </si>
  <si>
    <t>3934</t>
  </si>
  <si>
    <t>Farbenhandel</t>
  </si>
  <si>
    <t>5199 Sonstige Verbrauchsgüter</t>
  </si>
  <si>
    <t>52 - 59</t>
  </si>
  <si>
    <t>52 - 59 Einzelhandel</t>
  </si>
  <si>
    <t>5200</t>
  </si>
  <si>
    <t>5200 --- Baumaterial-, Eisenwaren-, Gartengeräte-, Wohnmobile-Händler ---</t>
  </si>
  <si>
    <t>5211 Bauholz- u. Baumaterialhändler</t>
  </si>
  <si>
    <t>5231 Farben, Glas- u. Tapetengeschäfte</t>
  </si>
  <si>
    <t>5251 Eisenwaren</t>
  </si>
  <si>
    <t>5261 Gartengeräte, Gartenbedarf, Saaten, Baumschulen, Christbäume</t>
  </si>
  <si>
    <t>8248</t>
  </si>
  <si>
    <t>Gartenartikelhandel</t>
  </si>
  <si>
    <t>5271 Wohnmobile-Händler</t>
  </si>
  <si>
    <t>5300</t>
  </si>
  <si>
    <t>5300 --- Waren aller Art ---</t>
  </si>
  <si>
    <t>5311 Waren- und Kaufhäuser</t>
  </si>
  <si>
    <t>5331 Gemischtwarenhandel</t>
  </si>
  <si>
    <t>5399 Verschiedene Waren</t>
  </si>
  <si>
    <t>5400</t>
  </si>
  <si>
    <t>5400 --- Lebensmittelgeschäfte ---</t>
  </si>
  <si>
    <t>5411 Kolonialwaren, Lebensmittel, Delikatessen, Tiefkühlkost</t>
  </si>
  <si>
    <t>5421 Fleisch- u. Fischmärkte, einschl. Tiefkühlkost</t>
  </si>
  <si>
    <t>5431 Obst- u. Gemüsemarkt</t>
  </si>
  <si>
    <t>5441 Süßwarengeschäfte</t>
  </si>
  <si>
    <t>5451 Molkereiprodukte</t>
  </si>
  <si>
    <t>5461 Bäckereien mit Verkauf</t>
  </si>
  <si>
    <t>5499 Verschiedene Lebensmittelgeschäfte</t>
  </si>
  <si>
    <t>5500</t>
  </si>
  <si>
    <t>5500 --- Autohändler und Tankstellen ---</t>
  </si>
  <si>
    <t>5511 Autohändler (Neu- und Gebrauchtwagen)</t>
  </si>
  <si>
    <t>5521 Autohändler (Gebrauchtwagen)</t>
  </si>
  <si>
    <t>5531 Kfz-Zubehör, Autoradios etc.</t>
  </si>
  <si>
    <t>5541 Tankstellen</t>
  </si>
  <si>
    <t>4251</t>
  </si>
  <si>
    <t>Tankstelle</t>
  </si>
  <si>
    <t>5551 Bootshändler, Außenbordmotoren, Schiffsausrüstung</t>
  </si>
  <si>
    <t>5561 Händler für Wohnwagen u. andere Anhänger</t>
  </si>
  <si>
    <t>5571 Motorradhändler</t>
  </si>
  <si>
    <t>5599 Sonstige Fahrzeughändler, Schnee- u. Spielmobile</t>
  </si>
  <si>
    <t>5600</t>
  </si>
  <si>
    <t>5600 --- Bekleidung, Acessoires, Kurzwaren ---</t>
  </si>
  <si>
    <t>5611 Herren- u. Knabenausstattungsgeschäfte</t>
  </si>
  <si>
    <t>5621 Damen-Fertigkleidung</t>
  </si>
  <si>
    <t>5632 Damenkleidungs-Zubehör u. Spezialgeschäfte</t>
  </si>
  <si>
    <t>5641 Kinder- u. Babykleidung</t>
  </si>
  <si>
    <t>5651 Allgemeine Bekleidungsgeschäfte</t>
  </si>
  <si>
    <t>5661 Schuhgeschäfte</t>
  </si>
  <si>
    <t>5699 Verschiedene Bekleidungs- u. Kurzwarengeschäfte</t>
  </si>
  <si>
    <t>5700</t>
  </si>
  <si>
    <t>5700 --- Möbel, Wohnungseinrichtungen und -Ausstattungen ---</t>
  </si>
  <si>
    <t>5712 Möbelgeschäfte</t>
  </si>
  <si>
    <t>Möbelhaus</t>
  </si>
  <si>
    <t>5713 Fußbodenbeläge, Teppiche</t>
  </si>
  <si>
    <t>5714 Gardinen, Vorhänge, Polstermöbel</t>
  </si>
  <si>
    <t>5719 Verschiedene Einrichtungsgegenstände, Geschirr</t>
  </si>
  <si>
    <t>5722 Haushaltsgeschäfte, Elektrogeräte, Nähmaschinen, Einbauküchen</t>
  </si>
  <si>
    <t>5731 Radio-, Fernseh-, Video-Geschäfte</t>
  </si>
  <si>
    <t>5734 Computer und Software-Handlungen</t>
  </si>
  <si>
    <t>5735 Schallplatten-, Cassetten-, CD- und Videokassetten-Läden</t>
  </si>
  <si>
    <t>8846</t>
  </si>
  <si>
    <t>Videothek</t>
  </si>
  <si>
    <t>5736 Musikinstrumentengeschäfte</t>
  </si>
  <si>
    <t>5800</t>
  </si>
  <si>
    <t>5800 --- Gaststätten und Lokale ---</t>
  </si>
  <si>
    <t>5812 Restaurants, Schnellimbiß usw.</t>
  </si>
  <si>
    <t>8843</t>
  </si>
  <si>
    <t>Restaurant/Imbiss</t>
  </si>
  <si>
    <t>5813 Lokale, Bierhallen, Nachtclubs, Discotheken</t>
  </si>
  <si>
    <t>8727</t>
  </si>
  <si>
    <t>Speiselokal</t>
  </si>
  <si>
    <t>5900</t>
  </si>
  <si>
    <t>5900 --- Verschiedene Warengattungen ---</t>
  </si>
  <si>
    <t>5912 Drogerien, Apotheken</t>
  </si>
  <si>
    <t>5921 Spirituosenhandlungen</t>
  </si>
  <si>
    <t>3956</t>
  </si>
  <si>
    <t>Getränke-Handel</t>
  </si>
  <si>
    <t>5932 Gebrauchtwarengeschäfte, Antiquitäten, Second-Hand-Läden</t>
  </si>
  <si>
    <t>8015</t>
  </si>
  <si>
    <t>Antiquitätenhandel</t>
  </si>
  <si>
    <t>5941 Sport- u. Fahrradgeschäfte</t>
  </si>
  <si>
    <t>5942 Buchhandlungen</t>
  </si>
  <si>
    <t>5943 Schreibwarengeschäfte</t>
  </si>
  <si>
    <t>8697</t>
  </si>
  <si>
    <t>Schreib-/Papierwarenhandel</t>
  </si>
  <si>
    <t>5944 Juwelierläden</t>
  </si>
  <si>
    <t>3963</t>
  </si>
  <si>
    <t>Juwelierwarenhandel</t>
  </si>
  <si>
    <t>5945 Hobby- u. Spielwarengeschäfte</t>
  </si>
  <si>
    <t>5946 Fotogeschäfte</t>
  </si>
  <si>
    <t>5947 Geschenkartikel u. Souveniers</t>
  </si>
  <si>
    <t>8273</t>
  </si>
  <si>
    <t>Geschenkartikelhandel</t>
  </si>
  <si>
    <t>5948 Taschen, Koffer, Lederwaren</t>
  </si>
  <si>
    <t>5949 Handarbeitsgeschäfte, Meterware (Stoffe)</t>
  </si>
  <si>
    <t>5961 Postversandhäuser</t>
  </si>
  <si>
    <t>5962 Verkaufsautomaten</t>
  </si>
  <si>
    <t>7358</t>
  </si>
  <si>
    <t>Automatenvermietung inkl. Automatenaufstellung</t>
  </si>
  <si>
    <t>5983 Heizölhändler</t>
  </si>
  <si>
    <t>5984 Flüssiggas (Flaschengas)</t>
  </si>
  <si>
    <t>5989 Sonstige Brennstoffhändler</t>
  </si>
  <si>
    <t>5992 Blumengeschäfte</t>
  </si>
  <si>
    <t>5993 Zigarrengeschäfte u. -Stände</t>
  </si>
  <si>
    <t>5994 Zeitungsgeschäfte u. -Stände</t>
  </si>
  <si>
    <t>5995 Optikergeschäfte</t>
  </si>
  <si>
    <t>1548</t>
  </si>
  <si>
    <t>Optiker</t>
  </si>
  <si>
    <t>5999 Verschiedene Warengattungen</t>
  </si>
  <si>
    <t>60 - 67</t>
  </si>
  <si>
    <t>60 - 67 Banken, Finanzinstitute und Versicherungen</t>
  </si>
  <si>
    <t>6000</t>
  </si>
  <si>
    <t>6000 --- Banken und Kreditinstitute ---</t>
  </si>
  <si>
    <t>6011 Zentral- u. Notenbanken</t>
  </si>
  <si>
    <t>6019 Sonstige Zentral-Kreditinstitute</t>
  </si>
  <si>
    <t>6021 Bundesbanken</t>
  </si>
  <si>
    <t>6022 Landesbanken</t>
  </si>
  <si>
    <t>6029 Sonstige Geschäftsbanken</t>
  </si>
  <si>
    <t>6035 Sparkassen mit Bundeslizenz</t>
  </si>
  <si>
    <t>6036 Sparkassen ohne Bundeslizenz</t>
  </si>
  <si>
    <t>6061 Kreditvereinigungen mit Bundeslizenz</t>
  </si>
  <si>
    <t>6062 Kreditvereinigungen ohne Bundeslizenz</t>
  </si>
  <si>
    <t>6081 Zweigstellen u. Vertretungen ausländischer Banken</t>
  </si>
  <si>
    <t>6082 Außenhandelsbanken</t>
  </si>
  <si>
    <t>6091 Trusts</t>
  </si>
  <si>
    <t>6099 Sonstige Anlagendienste</t>
  </si>
  <si>
    <t>6100</t>
  </si>
  <si>
    <t>6100 --- Kreditinstitute (andere als Banken) ---</t>
  </si>
  <si>
    <t>6111 Staatlich u. staatlich unterstützte Kreditinstitute</t>
  </si>
  <si>
    <t>6141 Verbraucherkreditagenturen</t>
  </si>
  <si>
    <t>6153 Institute für kurzfristige Geschäftskredite</t>
  </si>
  <si>
    <t>6159 Verschiedene Geschäfts-Kreditinstitute</t>
  </si>
  <si>
    <t>6162 Hypothekenbanken</t>
  </si>
  <si>
    <t>6163 Anleihe-Vermittler</t>
  </si>
  <si>
    <t>6200</t>
  </si>
  <si>
    <t>6200 --- Wertpapier- und Warenmakler, Händler, Börsen etc. ---</t>
  </si>
  <si>
    <t>6211 Wertpapiermakler, -händler u. Wertpapieremissionen</t>
  </si>
  <si>
    <t>6221 Warenmakler</t>
  </si>
  <si>
    <t>6231 Wertpapier- u. Warenbörsen</t>
  </si>
  <si>
    <t>6280 Dienstleistungen auf dem Gebiet des Wertpapier- u. Warenaustausches</t>
  </si>
  <si>
    <t>6282 Anlagenberatung</t>
  </si>
  <si>
    <t>6289 Sonstige Börsendienste</t>
  </si>
  <si>
    <t>6300</t>
  </si>
  <si>
    <t>6300 --- Versicherungsträger ---</t>
  </si>
  <si>
    <t>6311 Lebensversicherungen</t>
  </si>
  <si>
    <t>6321 Unfall- u. Krankenversicherungen</t>
  </si>
  <si>
    <t>6324 Krankenhaus-Zusatzversicherungen etc.</t>
  </si>
  <si>
    <t>6331 Feuer-, Seefahrts-, Sach- u. Arbeitsunfallversicherungen</t>
  </si>
  <si>
    <t>6351 Garantieträgerversicherungen, Kreditversicherungen</t>
  </si>
  <si>
    <t>6361 Titelversicherungen</t>
  </si>
  <si>
    <t>6371 Pensions-, Kranken- u. Wohlfahrtskassen</t>
  </si>
  <si>
    <t>6399 Sonstige Versicherungsträger</t>
  </si>
  <si>
    <t>6400</t>
  </si>
  <si>
    <t>6400 --- Versicherungsagenturen, Makler und Dienstleistungen ---</t>
  </si>
  <si>
    <t>6411 Versicherungsagenturen, Makler u. Dienstleistungen</t>
  </si>
  <si>
    <t>6500</t>
  </si>
  <si>
    <t>6500 --- Immobilien ---</t>
  </si>
  <si>
    <t>6512 Verwaltungen für Gebäude (keine W ohnhäuser)</t>
  </si>
  <si>
    <t>6513 Mietshausverwaltungen</t>
  </si>
  <si>
    <t>6514 Verwaltungen für Wohnungen außer Mietshäusern</t>
  </si>
  <si>
    <t>6515 Verwaltungen von Wohnwagenplätzen u. Campingplätzen</t>
  </si>
  <si>
    <t>6517 Verpachtung von Eisenbahngrundstücken</t>
  </si>
  <si>
    <t>6519 Sonstige Verpachter von Grundstücken</t>
  </si>
  <si>
    <t>6531 Immobilien-Agenten, Makler u. Verwalter</t>
  </si>
  <si>
    <t>7202</t>
  </si>
  <si>
    <t>Immobilienmaklerbüro</t>
  </si>
  <si>
    <t>6541 Grundbuchgesellschaften</t>
  </si>
  <si>
    <t>7013</t>
  </si>
  <si>
    <t>Notar</t>
  </si>
  <si>
    <t>6552 Parzellierung u. Urbarmachung (außer Friedhöfen)</t>
  </si>
  <si>
    <t>6553 Friedhofsparzellierung</t>
  </si>
  <si>
    <t>6700</t>
  </si>
  <si>
    <t>6700 --- Holdings und andere Investmentgesellschaften ---</t>
  </si>
  <si>
    <t>6712 Bank-Holding-Gesellschaften</t>
  </si>
  <si>
    <t>6719 Sonstige Holding-Gesellschaften</t>
  </si>
  <si>
    <t>6722 Kapitalanlagegesellschaften (Investitionsgesellschaften) (open-end)</t>
  </si>
  <si>
    <t>6726 Sonstige Investmentgesellschaften</t>
  </si>
  <si>
    <t>6732 Kulturelle, religiöse u. Wohltätigkeitsstiftungen</t>
  </si>
  <si>
    <t>6733 Stiftungen außer kulturellen, religiösen u. wohltätigen</t>
  </si>
  <si>
    <t>6792 Ölbohr-Lizenzgesellschaften, Verwertung von entsprechenden Lizenzen</t>
  </si>
  <si>
    <t>6794 Patentinhaber und Lizenzgeber</t>
  </si>
  <si>
    <t>6798 Immobilien-Investment Trusts</t>
  </si>
  <si>
    <t>70 - 79</t>
  </si>
  <si>
    <t>70 - 79 Dienstleistung</t>
  </si>
  <si>
    <t>7000 --- Hotels, Pensionen, Campingplätze und andere Beherbergungsbetriebe ---</t>
  </si>
  <si>
    <t>7011 Hotels, Motels</t>
  </si>
  <si>
    <t>4863</t>
  </si>
  <si>
    <t>Hotel</t>
  </si>
  <si>
    <t>7021 Pensionen u. Fremdenheime</t>
  </si>
  <si>
    <t>8576</t>
  </si>
  <si>
    <t>Pension</t>
  </si>
  <si>
    <t>7032 Sport- u. Erholungszentren</t>
  </si>
  <si>
    <t>8218</t>
  </si>
  <si>
    <t>Fitnesscenter/Sportstudio</t>
  </si>
  <si>
    <t>7033 Campingplätze</t>
  </si>
  <si>
    <t>6306</t>
  </si>
  <si>
    <t>Campingplatzbetreiber</t>
  </si>
  <si>
    <t>7041 Hotels, Beherbergungsbetriebe u. Wohnheime von Organisationen</t>
  </si>
  <si>
    <t>7200</t>
  </si>
  <si>
    <t>7200 --- Persönliche Dienstleistungen ---</t>
  </si>
  <si>
    <t>7211</t>
  </si>
  <si>
    <t>7211 Wäschereien (allgemein)</t>
  </si>
  <si>
    <t>6044</t>
  </si>
  <si>
    <t>Wäscherei (ohne chemische Reinigung)</t>
  </si>
  <si>
    <t>7212</t>
  </si>
  <si>
    <t>7212 Büglereien und Agenten für Wäschereien und Reinigungen</t>
  </si>
  <si>
    <t>7213</t>
  </si>
  <si>
    <t>7213 Verleih von Leinen u. Wäsche</t>
  </si>
  <si>
    <t>7215</t>
  </si>
  <si>
    <t>7215 Automatenwäschereien, Münzwäschereien u. chem. Reinigungen</t>
  </si>
  <si>
    <t>6043</t>
  </si>
  <si>
    <t>Wäscherei (mit chemischer Reinigung)</t>
  </si>
  <si>
    <t>7216</t>
  </si>
  <si>
    <t>7216 Chem. Reinigungsanlagen, außer Teppichreinigung</t>
  </si>
  <si>
    <t>7217</t>
  </si>
  <si>
    <t>7217 Teppich- u. Polsterreinigung</t>
  </si>
  <si>
    <t>8788</t>
  </si>
  <si>
    <t>Teppichreinigung/Textilreinigung</t>
  </si>
  <si>
    <t>7218 Industriewäschereien</t>
  </si>
  <si>
    <t>7219 Sonstige Wäscherei- u. Kleiderdienste</t>
  </si>
  <si>
    <t>7221 Fotostudios, Portraitaufnahmen</t>
  </si>
  <si>
    <t>3024</t>
  </si>
  <si>
    <t>Fotograf/Fotoatelier</t>
  </si>
  <si>
    <t>7231 Coiffeure, Kosmetiksalons</t>
  </si>
  <si>
    <t>8437</t>
  </si>
  <si>
    <t>Kosmetiksalon</t>
  </si>
  <si>
    <t>7241 Herrenfriseurgeschäfte</t>
  </si>
  <si>
    <t>6915</t>
  </si>
  <si>
    <t>Friseur</t>
  </si>
  <si>
    <t>7251 Schuhmachereien, Schuhputzbetrieb, Hutreinigungsanstalten</t>
  </si>
  <si>
    <t>7261 Beerdigungsinstitute u. Krematorien</t>
  </si>
  <si>
    <t>6906</t>
  </si>
  <si>
    <t>Beerdigungsinstitut/Bestattungsinstitut</t>
  </si>
  <si>
    <t>7291 Steuerberater</t>
  </si>
  <si>
    <t>8756</t>
  </si>
  <si>
    <t>Steuerberater</t>
  </si>
  <si>
    <t>7299 Verschiedene persönliche Dienstleistungen</t>
  </si>
  <si>
    <t>7300</t>
  </si>
  <si>
    <t>7300 --- Kommerzielle Dienstleistungen ---</t>
  </si>
  <si>
    <t>7311 Werbeagenturen</t>
  </si>
  <si>
    <t>7481</t>
  </si>
  <si>
    <t>Werbeagentur</t>
  </si>
  <si>
    <t>7312 Außenwerbung, Straßenwerbung</t>
  </si>
  <si>
    <t>7313 Anzeigenakquisition, Vermittlung v. Rundfunk- u. Fernsehwerbung</t>
  </si>
  <si>
    <t>7319 Sonstige Werbung</t>
  </si>
  <si>
    <t>7322 Inkassodienste</t>
  </si>
  <si>
    <t>7323 Handels- u. Kreditauskunfteien</t>
  </si>
  <si>
    <t>7331 Direktmail- und Postwerbungsagenturen</t>
  </si>
  <si>
    <t>7334 Lichtpaus- u. Fotokopieranstalten</t>
  </si>
  <si>
    <t>8234</t>
  </si>
  <si>
    <t>Fotokopierbetrieb</t>
  </si>
  <si>
    <t>7335 Industriefotografen</t>
  </si>
  <si>
    <t>7336 Werbegraphik</t>
  </si>
  <si>
    <t>7338 Sekretariats- u. Stenographendienste</t>
  </si>
  <si>
    <t>6936</t>
  </si>
  <si>
    <t>Schreibbüro</t>
  </si>
  <si>
    <t>7342 Desinfektoren und Kammerjäger</t>
  </si>
  <si>
    <t>8387</t>
  </si>
  <si>
    <t>Kammerjäger</t>
  </si>
  <si>
    <t>7349 Sonstige Hausreinigungs- u. Instandhaltungsdienste, Gebäudereinigung</t>
  </si>
  <si>
    <t>Gebäudereinigungsbetrieb</t>
  </si>
  <si>
    <t>7352 Verleih und Leasing von medizinischen Geräten</t>
  </si>
  <si>
    <t>7353 Baumaschinen-Verleih und -Leasing</t>
  </si>
  <si>
    <t>7359 Sonstiger Verleih u. Leasing</t>
  </si>
  <si>
    <t>7361 Arbeitsämter, Arbeitsbeschaffungsstellen</t>
  </si>
  <si>
    <t>8577</t>
  </si>
  <si>
    <t>Personalberatungsbüro (ohne Personalleasing)</t>
  </si>
  <si>
    <t>7363 Vermittlungsbüros für Aushilfskräfte</t>
  </si>
  <si>
    <t>7371 Programmierungsdienste für Computer etc.</t>
  </si>
  <si>
    <t>8119</t>
  </si>
  <si>
    <t>Computerprogrammherstellung (Software)</t>
  </si>
  <si>
    <t>7372 Fertige Software</t>
  </si>
  <si>
    <t>7459</t>
  </si>
  <si>
    <t>Software-Handel</t>
  </si>
  <si>
    <t>7373 Systemanalyse und -entwicklung</t>
  </si>
  <si>
    <t>7374 Datenverarbeitungsdienste</t>
  </si>
  <si>
    <t>7456</t>
  </si>
  <si>
    <t>Datenverarbeitungsbetrieb</t>
  </si>
  <si>
    <t>7375 Informationsbeschaffung</t>
  </si>
  <si>
    <t>7376 Management von Computerausrüstung</t>
  </si>
  <si>
    <t>7377 Vermietung und Leasing von Computern</t>
  </si>
  <si>
    <t>7378 Computerwartung und -reparatur</t>
  </si>
  <si>
    <t>7379 Sonstige Dienstleistungen auf dem Computersektor</t>
  </si>
  <si>
    <t>7381 Detektivbüros, Wach- u. Schutzdienste, gepanzerte Wagen</t>
  </si>
  <si>
    <t>6951</t>
  </si>
  <si>
    <t>Detektei</t>
  </si>
  <si>
    <t>7382 Alarmanlagen</t>
  </si>
  <si>
    <t>7383 Nachrichtendienste</t>
  </si>
  <si>
    <t>7384 Fotolabors</t>
  </si>
  <si>
    <t>7389 Sonstige gewerbliche Dienstleistungen</t>
  </si>
  <si>
    <t>7500</t>
  </si>
  <si>
    <t>7500 --- KFZ-Reparaturen, Wartung, Garagen ---</t>
  </si>
  <si>
    <t>7513 LKW-Vermietung ohne Fahrer</t>
  </si>
  <si>
    <t>4239</t>
  </si>
  <si>
    <t>Kraftfahrzeug-Vermietung/Autovermietung</t>
  </si>
  <si>
    <t>7514 PKW-Vermietung</t>
  </si>
  <si>
    <t>7515 PKW-Leasing</t>
  </si>
  <si>
    <t>7519 Vermietung von Wohnwagen u. Anhängern</t>
  </si>
  <si>
    <t>7521 Parkplätze und Parkhäuser</t>
  </si>
  <si>
    <t>7532 Karosserie-Reparaturwerkstätten u. Autolackierereien</t>
  </si>
  <si>
    <t>Kraftfahrzeug-Reparatur</t>
  </si>
  <si>
    <t>7533 Auspuffreparaturwerkstätten</t>
  </si>
  <si>
    <t>7534 Reparatur und Runderneuerung von Autoreifen</t>
  </si>
  <si>
    <t>7536 Autoscheibendienste</t>
  </si>
  <si>
    <t>7537 Getriebewerkstätten</t>
  </si>
  <si>
    <t>7538 Allgemeine KFZ-Reparaturwerkstätten</t>
  </si>
  <si>
    <t>7539 Sonstige KFZ-Reparaturwerkstätten</t>
  </si>
  <si>
    <t>7542 Autowaschanlagen</t>
  </si>
  <si>
    <t>8858</t>
  </si>
  <si>
    <t>Waschanlage/Waschstraße</t>
  </si>
  <si>
    <t>7549 Sonstige KFZ-Dienstleistungen außer Reparatur u. Wagenwaschen</t>
  </si>
  <si>
    <t>7600</t>
  </si>
  <si>
    <t>7600 --- Verschiedene Reparaturdienste ---</t>
  </si>
  <si>
    <t>7622 Reparatur von Radio- u. Fernsehgeräten</t>
  </si>
  <si>
    <t>1592</t>
  </si>
  <si>
    <t>Elektrogerätereparatur</t>
  </si>
  <si>
    <t>7623 Reparatur u. Wartung von Kühl- u. Klimaanlagen</t>
  </si>
  <si>
    <t>7629 Reparatur von elektr. u. elektron. Anlagen</t>
  </si>
  <si>
    <t>7631 Reparatur von Uhren u. Schmuck</t>
  </si>
  <si>
    <t>7641 Reparatur von Möbeln u. Polstermöbeln</t>
  </si>
  <si>
    <t>8516</t>
  </si>
  <si>
    <t>Möbeltischler</t>
  </si>
  <si>
    <t>7692 Schweißreparaturen, Schweißwerkstätten</t>
  </si>
  <si>
    <t>9703</t>
  </si>
  <si>
    <t>Schweißerei</t>
  </si>
  <si>
    <t>7694 Reparatur u. Ausbohrung von Elektroarmaturen</t>
  </si>
  <si>
    <t>7699 Sonstige Reparaturwerkstätten u. verwandte Anlagen</t>
  </si>
  <si>
    <t>7800</t>
  </si>
  <si>
    <t>7800 --- Filmproduktion ---</t>
  </si>
  <si>
    <t>7812 Film- und Video-Produktion</t>
  </si>
  <si>
    <t>Filmproduktionen</t>
  </si>
  <si>
    <t>7819 Dienstleistungen auf dem Gebiet der Spielfilmproduktion</t>
  </si>
  <si>
    <t>7822 Vertrieb von Filmen u. Videos</t>
  </si>
  <si>
    <t>7829 Dienstleistungen auf dem Gebiet des Spielfilmvertriebs</t>
  </si>
  <si>
    <t>7832 Filmtheater, außer Drive-In-Kinos</t>
  </si>
  <si>
    <t>7833 Drive-In (Autokinos)</t>
  </si>
  <si>
    <t>7841 Video-Verleih</t>
  </si>
  <si>
    <t>7900</t>
  </si>
  <si>
    <t>7900 --- Vergnügungs- und Erholungsstätten ---</t>
  </si>
  <si>
    <t>7911 Tanzsäle, Tanzschulen</t>
  </si>
  <si>
    <t>Tanzschule/Tanzlehrer</t>
  </si>
  <si>
    <t>7922 Theaterproduzenten (außer Film) u. verschiedene Theaterdienste</t>
  </si>
  <si>
    <t>7929 Kapellen, Orchester, Schauspieler u. andere Unterhalter</t>
  </si>
  <si>
    <t>7932 Billardsäle</t>
  </si>
  <si>
    <t>Spielhalle/Spielothek/Spielsalon</t>
  </si>
  <si>
    <t>7933 Bowlinganlagen, Kegelbahnen</t>
  </si>
  <si>
    <t>Bowlingcenter</t>
  </si>
  <si>
    <t>7941 Berufssportclubs u. Promoter</t>
  </si>
  <si>
    <t>7948 Rennbahnen einschl. Instandhaltung</t>
  </si>
  <si>
    <t>7991 Fitnessstudios</t>
  </si>
  <si>
    <t>7992 Öffentliche Golfplätze</t>
  </si>
  <si>
    <t>8296</t>
  </si>
  <si>
    <t>Golfplatz</t>
  </si>
  <si>
    <t>7993 Spielsalons m. Münzautomaten</t>
  </si>
  <si>
    <t>7996 Vergnügungsparks</t>
  </si>
  <si>
    <t>7997 Sport- u. Spielvereine</t>
  </si>
  <si>
    <t>7999 Sonstige Vergnügungs- u. Erholungsanlagen</t>
  </si>
  <si>
    <t>80 - 99</t>
  </si>
  <si>
    <t>80 - 99 Ämter, Behörden und Verbände</t>
  </si>
  <si>
    <t>8000</t>
  </si>
  <si>
    <t>8000 --- Gesundheitsdienste ---</t>
  </si>
  <si>
    <t>8011 Arztpraxen (ohne Kliniken)</t>
  </si>
  <si>
    <t>5465</t>
  </si>
  <si>
    <t>Arzt</t>
  </si>
  <si>
    <t>8021 Zahnärzte</t>
  </si>
  <si>
    <t>5470</t>
  </si>
  <si>
    <t>Zahnarzt</t>
  </si>
  <si>
    <t>8031 Osteopathische Fachärzte</t>
  </si>
  <si>
    <t>8041 Chiropraktiker</t>
  </si>
  <si>
    <t>5469</t>
  </si>
  <si>
    <t>Chiropraktiker/Chirogymnast</t>
  </si>
  <si>
    <t>8042 Augenärzte</t>
  </si>
  <si>
    <t>5473</t>
  </si>
  <si>
    <t>Augenarzt</t>
  </si>
  <si>
    <t>8043 Fußärzte</t>
  </si>
  <si>
    <t>8049 Sonstige Heilpraktiker</t>
  </si>
  <si>
    <t>5472</t>
  </si>
  <si>
    <t>Heilpraktiker</t>
  </si>
  <si>
    <t>8051 Pflegeeinrichtungen</t>
  </si>
  <si>
    <t>8583</t>
  </si>
  <si>
    <t>Pflege-/Heilanstalt</t>
  </si>
  <si>
    <t>8052 Übergangspflegeeinrichtungen</t>
  </si>
  <si>
    <t>8059 Sonstige Pflegeheime</t>
  </si>
  <si>
    <t>8062 Allgemeine Krankenhäuser</t>
  </si>
  <si>
    <t>8063 Psychiatrische Kliniken</t>
  </si>
  <si>
    <t>8069 Spezial- und Kinderkliniken (außer Psychiatrie)</t>
  </si>
  <si>
    <t>8071 Medizinische Laboratorien</t>
  </si>
  <si>
    <t>5445</t>
  </si>
  <si>
    <t>Medizinischer Laborbetrieb</t>
  </si>
  <si>
    <t>8072 Zahntechnische Labors</t>
  </si>
  <si>
    <t>5457</t>
  </si>
  <si>
    <t>Zahntechnisches Labor</t>
  </si>
  <si>
    <t>8082 Heimpflegedienste</t>
  </si>
  <si>
    <t>8092 Dialysezentren</t>
  </si>
  <si>
    <t>8093 Sonstige ambulante ärztliche Versorgung</t>
  </si>
  <si>
    <t>8099 Sonstige Gesundheits- u. verw. Dienstleistungen</t>
  </si>
  <si>
    <t>8100</t>
  </si>
  <si>
    <t>8100 --- Juristische Dienstleistungen ---</t>
  </si>
  <si>
    <t>8111 Juristische Dienstleistungen</t>
  </si>
  <si>
    <t>8200</t>
  </si>
  <si>
    <t>8200 --- Bildungswesen ---</t>
  </si>
  <si>
    <t>8211 Internate, Kindergärten, Grund- u. Hauptschulen, höhere Schulen</t>
  </si>
  <si>
    <t>8414</t>
  </si>
  <si>
    <t>Kindertagesstätte/Kindergarten</t>
  </si>
  <si>
    <t>8221 Universitäten u. Hochschulen</t>
  </si>
  <si>
    <t>8353</t>
  </si>
  <si>
    <t>Schule</t>
  </si>
  <si>
    <t>8222 Progymnasien u. techn. Fachschulen, Fachhochschulen</t>
  </si>
  <si>
    <t>8231 Bibliotheken u. Informationszentren</t>
  </si>
  <si>
    <t>8243 Schulen für Datenverarbeitung</t>
  </si>
  <si>
    <t>8244 Wirtschaftsfach- u. Sekretärinnenschulen, Handelsschulen</t>
  </si>
  <si>
    <t>8249 Berufsschulen außer Fachoberschulen</t>
  </si>
  <si>
    <t>8299 Sonstige Schulen u. Ausbildungsstätten</t>
  </si>
  <si>
    <t>8300</t>
  </si>
  <si>
    <t>8300 --- Soziale Einrichtungen ---</t>
  </si>
  <si>
    <t>8322 Soziale Einrichtungen f. Alleinstehende u. Familien</t>
  </si>
  <si>
    <t>8003</t>
  </si>
  <si>
    <t>Altenheim/Altersheim/Pflegeheim/Seniorenheim</t>
  </si>
  <si>
    <t>8331 Berufstraining u. berufliche Wiedereingliederung</t>
  </si>
  <si>
    <t>7002</t>
  </si>
  <si>
    <t>Berufsförderung</t>
  </si>
  <si>
    <t>8351 Kindertagesstätten</t>
  </si>
  <si>
    <t>8361 Alters-, Pflege- u. Kinderheime, Kinderdörfer</t>
  </si>
  <si>
    <t>8399 Sonstige soziale Einrichtungen</t>
  </si>
  <si>
    <t>8400</t>
  </si>
  <si>
    <t>8400 --- Museen, Galerien, botanische und zoologische Gärten ---</t>
  </si>
  <si>
    <t>8412 Museen u. Galerien</t>
  </si>
  <si>
    <t>8422 Botanische und Zoologische Gärten</t>
  </si>
  <si>
    <t>8600</t>
  </si>
  <si>
    <t>8600 --- Vereine, Verbände, gemeinnützige Organisationen ---</t>
  </si>
  <si>
    <t>8611 Fachverbände</t>
  </si>
  <si>
    <t>8621 Berufsverbände</t>
  </si>
  <si>
    <t>8631 Gewerkschaften u. Arbeiterverbände</t>
  </si>
  <si>
    <t>8641 Vereine</t>
  </si>
  <si>
    <t>8651 Politische Organisationen</t>
  </si>
  <si>
    <t>8661 Religionsgemeinschaften</t>
  </si>
  <si>
    <t>8699 Sonstige Vereine u. Verbände</t>
  </si>
  <si>
    <t>8700</t>
  </si>
  <si>
    <t>8700 --- Technische u. Management-Dienste ---</t>
  </si>
  <si>
    <t>8711 Technische Dienste</t>
  </si>
  <si>
    <t>8712 Architektendienste</t>
  </si>
  <si>
    <t>7461</t>
  </si>
  <si>
    <t>Architekt</t>
  </si>
  <si>
    <t>8713 Überwachungsdienste</t>
  </si>
  <si>
    <t>8721 Buchhaltungs-, Wirtschafts- u. Steuerprüfungsbüros</t>
  </si>
  <si>
    <t>8731 Gewerbliche physikalische u. biologische Forschungseinrichtungen</t>
  </si>
  <si>
    <t>8732 Gewerbliche ökonomische, soziologische und pädagogische Forschungseinr.</t>
  </si>
  <si>
    <t>8733 Nichtkommerzielle Forschungseinrichtungen</t>
  </si>
  <si>
    <t>8734 Prüflabors</t>
  </si>
  <si>
    <t>8741 Management-Dienste</t>
  </si>
  <si>
    <t>8742 Unternehmensberatung</t>
  </si>
  <si>
    <t>8743 Public relations Dienste</t>
  </si>
  <si>
    <t>7026</t>
  </si>
  <si>
    <t>Unternehmensberatung ohne Finanzierungsberatung</t>
  </si>
  <si>
    <t>8744 Management-Hilfsdienste</t>
  </si>
  <si>
    <t>8748 Sonstige Beratungsdienste</t>
  </si>
  <si>
    <t>8800</t>
  </si>
  <si>
    <t>8800 --- Privathaushalte ---</t>
  </si>
  <si>
    <t>8811 Privathaushalte</t>
  </si>
  <si>
    <t>8900</t>
  </si>
  <si>
    <t>8900 --- Sonstige Dienstleistungen ---</t>
  </si>
  <si>
    <t>8999 Sonstige Dienstleistungen</t>
  </si>
  <si>
    <t>9100</t>
  </si>
  <si>
    <t>9100 --- Öffentliche Ämter und Dienste ---</t>
  </si>
  <si>
    <t>9111 Regierungsstellen (lokal, Land, Staat)</t>
  </si>
  <si>
    <t>9121 Gesetzgeber</t>
  </si>
  <si>
    <t>9131 Körperschaften u. Ämter (Legislative, Exekutive)</t>
  </si>
  <si>
    <t>9199 Sonstige Regierungsstellen</t>
  </si>
  <si>
    <t>9200</t>
  </si>
  <si>
    <t>9200 --- Justiz, öffentliche Sicherheit u. Ordnung ---</t>
  </si>
  <si>
    <t>9211 Gerichte (Amts- und Arbeitsgerichte)</t>
  </si>
  <si>
    <t>9221 Polizeiwesen</t>
  </si>
  <si>
    <t>9222 Rechtsberatung u. Strafverfolgung</t>
  </si>
  <si>
    <t>9223 Gefängnisse, Justizvollzugseinrichtungen</t>
  </si>
  <si>
    <t>9224 Feuerwehren</t>
  </si>
  <si>
    <t>9229 Sonstige Behörden für öffentl. Ordnung u. Sicherheit</t>
  </si>
  <si>
    <t>9300</t>
  </si>
  <si>
    <t>9300 --- Öffentliche Finanzen u. Steuern ---</t>
  </si>
  <si>
    <t>9311 Steuer- u. Finanzverwaltung, Geld-, Kredit- u. Währungspolitik</t>
  </si>
  <si>
    <t>9400</t>
  </si>
  <si>
    <t>9400 --- Soziales ---</t>
  </si>
  <si>
    <t>9411 Verwaltung des Bildungswesens</t>
  </si>
  <si>
    <t>9431 Verwaltung des öffentl. Gesundheitswesens</t>
  </si>
  <si>
    <t>9441 Sozial- u. Arbeitsämter u. Verwaltungen</t>
  </si>
  <si>
    <t>9500</t>
  </si>
  <si>
    <t>9500 --- Umweltschutz u. Wohnungsbau ---</t>
  </si>
  <si>
    <t>9511 Beseitigung u. Entsorgung v. Abfallstoffen (Umweltschutz)</t>
  </si>
  <si>
    <t>9512 Landschafts-, Boden- u. Naturschutz</t>
  </si>
  <si>
    <t>9531 Wohnungswesen, Wohnungsbauprogramme</t>
  </si>
  <si>
    <t>9532 Stadtentwicklung, Städtebau</t>
  </si>
  <si>
    <t>9600</t>
  </si>
  <si>
    <t>9600 --- Wirtschaft ---</t>
  </si>
  <si>
    <t>9611 Wirtschaftsförderung</t>
  </si>
  <si>
    <t>9621 Verkehrswesen</t>
  </si>
  <si>
    <t>9631 Verwaltung u. Beaufsichtigung öffentlicher Versorgungsbetriebe</t>
  </si>
  <si>
    <t>9641 Landwirtschaftsverwaltung</t>
  </si>
  <si>
    <t>9651 Aufsicht und Förderung einzelner Wirtschaftsbereiche</t>
  </si>
  <si>
    <t>9661 Raumfahrt</t>
  </si>
  <si>
    <t>9700</t>
  </si>
  <si>
    <t>9700 --- Nationale Sicherheit u. internationale Belange ---</t>
  </si>
  <si>
    <t>9711 Nationale Sicherheit (Bundesgrenzschutz usw.)</t>
  </si>
  <si>
    <t>9721 Außenpolitik</t>
  </si>
  <si>
    <t>9900</t>
  </si>
  <si>
    <t>9900 --- Nicht klassifizierbare Einrichtungen ---</t>
  </si>
  <si>
    <t>9999 Nicht klassifizierbare Einrichtungen</t>
  </si>
  <si>
    <t>Refferal Triggers</t>
  </si>
  <si>
    <t>Referral nur bei Kartellrecht</t>
  </si>
  <si>
    <t xml:space="preserve"> Zu- und Abschläge</t>
  </si>
  <si>
    <t xml:space="preserve"> Klauseln</t>
  </si>
  <si>
    <t>Land des VN</t>
  </si>
  <si>
    <t>Policenbeginn</t>
  </si>
  <si>
    <t>Laufzeit (Moante)</t>
  </si>
  <si>
    <t>Laufzeit</t>
  </si>
  <si>
    <t>TAW-Code</t>
  </si>
  <si>
    <t>Gesamtzahl Beschäftigte</t>
  </si>
  <si>
    <t>Gesamtzahl MA</t>
  </si>
  <si>
    <t>Existierender Vorvertrag</t>
  </si>
  <si>
    <t>Schäden Vorvertrag</t>
  </si>
  <si>
    <t>Kündigung Vorvertrag</t>
  </si>
  <si>
    <t>Verfahren letzte 2 Jahre</t>
  </si>
  <si>
    <t>Anhängige Verfahren</t>
  </si>
  <si>
    <t>Anstehende Verfahren</t>
  </si>
  <si>
    <t>Tätig nach KWG oder VAG</t>
  </si>
  <si>
    <t>Tätig in Ausschlussbranche</t>
  </si>
  <si>
    <t>Hinweise auf Kartellrechtsverfahren</t>
  </si>
  <si>
    <t>Kartellrechtsverfahren letzte zwei Jahre</t>
  </si>
  <si>
    <t>TU in Problemstaaten</t>
  </si>
  <si>
    <t>Default</t>
  </si>
  <si>
    <t>,hpst_kartellrecht:group-hpst-1</t>
  </si>
  <si>
    <t>Mit / ohne Tarifprämie</t>
  </si>
  <si>
    <t>Gesatmstatus</t>
  </si>
  <si>
    <t>Limit größer 2 Millionen Euro</t>
  </si>
  <si>
    <t>Sublimit größer 150,000 Euro oder Ausschlußbranche</t>
  </si>
  <si>
    <t>Außerhalb Tarif</t>
  </si>
  <si>
    <t>Ausschlussbranche Sublimit Kartellrecht</t>
  </si>
  <si>
    <t>Zuschlag DS</t>
  </si>
  <si>
    <t>Sublimit1</t>
  </si>
  <si>
    <t>Sublimit2</t>
  </si>
  <si>
    <t>Sublimit3</t>
  </si>
  <si>
    <t>Vollzeit</t>
  </si>
  <si>
    <t>Teilzeit</t>
  </si>
  <si>
    <t>Geringfügig Beschäftigte</t>
  </si>
  <si>
    <t>Mitarbeiter</t>
  </si>
  <si>
    <t>Tarifprämie</t>
  </si>
  <si>
    <t>PuA Tarifprämie</t>
  </si>
  <si>
    <t>Zu / Abschläge aus Referrals</t>
  </si>
  <si>
    <t>Zuschlag Geltungsbereich</t>
  </si>
  <si>
    <t>Gesamtprovision Roland</t>
  </si>
  <si>
    <t>Angebotene Deckungssumme</t>
  </si>
  <si>
    <t>Kartellrecht Sublimit</t>
  </si>
  <si>
    <t>Jahresprämie</t>
  </si>
  <si>
    <t>Prämie inkl- Zu/Abschläge</t>
  </si>
  <si>
    <t>Prämie Kartellrecht</t>
  </si>
  <si>
    <t>Gesamtprämie</t>
  </si>
  <si>
    <t>Abzug für Nettoisierung</t>
  </si>
  <si>
    <t>von</t>
  </si>
  <si>
    <t>bis</t>
  </si>
  <si>
    <t>Absolute Prämie</t>
  </si>
  <si>
    <t>Prämie pro Mitarbeiter</t>
  </si>
  <si>
    <t>FILTER</t>
  </si>
  <si>
    <t>Zuschlag</t>
  </si>
  <si>
    <t>Sublimit</t>
  </si>
  <si>
    <t>Mapping Daten Zahlweise</t>
  </si>
  <si>
    <t>Cosmo Zahlweisen</t>
  </si>
  <si>
    <t>ZWS_ID</t>
  </si>
  <si>
    <t>zahlweise-jaehrlich</t>
  </si>
  <si>
    <t>zahlweise-halbjaehrlich</t>
  </si>
  <si>
    <t>zahlweise-vierteljaehrlich</t>
  </si>
  <si>
    <t>zahlweise-monatlich</t>
  </si>
  <si>
    <t>Zahlweise In/-Out</t>
  </si>
  <si>
    <t>Mapping Daten Deckungssummen</t>
  </si>
  <si>
    <t>PBS_NAME</t>
  </si>
  <si>
    <t>PBS_NUMMER</t>
  </si>
  <si>
    <t>EWR_Straf-RS</t>
  </si>
  <si>
    <t>EWR_U-Haft</t>
  </si>
  <si>
    <t>EWR_Kartellrecht</t>
  </si>
  <si>
    <t>NON_EWR_Straf-RS</t>
  </si>
  <si>
    <t>NON_EWR_U-Haft</t>
  </si>
  <si>
    <t>NON_EWR_Kartellrecht</t>
  </si>
  <si>
    <t>PBS Nummer In/-Out</t>
  </si>
  <si>
    <t>Mapping Daten SLG</t>
  </si>
  <si>
    <t>SLG_CODE</t>
  </si>
  <si>
    <t>Straf-RS</t>
  </si>
  <si>
    <t>I0500-4</t>
  </si>
  <si>
    <t>I1000-18</t>
  </si>
  <si>
    <t>I1500-7</t>
  </si>
  <si>
    <t>I2000-7</t>
  </si>
  <si>
    <t>I2500</t>
  </si>
  <si>
    <t>I3000-7</t>
  </si>
  <si>
    <t>I3500-2</t>
  </si>
  <si>
    <t>I4000-2</t>
  </si>
  <si>
    <t>I4500-2</t>
  </si>
  <si>
    <t>I5000-3</t>
  </si>
  <si>
    <t>Straf-RS Nummer In/-Out</t>
  </si>
  <si>
    <t>Kartellrecht</t>
  </si>
  <si>
    <t>DS0050</t>
  </si>
  <si>
    <t>DS0075</t>
  </si>
  <si>
    <t>DS0100</t>
  </si>
  <si>
    <t>DS0125</t>
  </si>
  <si>
    <t>DS0150</t>
  </si>
  <si>
    <t>DS0200</t>
  </si>
  <si>
    <t>DS1000</t>
  </si>
  <si>
    <t>INDS0250</t>
  </si>
  <si>
    <t>INDS03002</t>
  </si>
  <si>
    <t>INDS0400</t>
  </si>
  <si>
    <t>INDS05002</t>
  </si>
  <si>
    <t>Deckungssumme (Straf-RS)</t>
  </si>
  <si>
    <t>U-Haft</t>
  </si>
  <si>
    <t>IUHAFT-2</t>
  </si>
  <si>
    <t>Globaler Angebotsstatus</t>
  </si>
  <si>
    <t>Roland</t>
  </si>
  <si>
    <t>Globaler Status</t>
  </si>
  <si>
    <t>KO</t>
  </si>
  <si>
    <t>referral</t>
  </si>
  <si>
    <t>green</t>
  </si>
  <si>
    <t>Referral</t>
  </si>
  <si>
    <t>Dunkelverarbeitung</t>
  </si>
  <si>
    <t>Arag Status</t>
  </si>
  <si>
    <t>Arag</t>
  </si>
  <si>
    <t>ARAG</t>
  </si>
  <si>
    <t>VS 500.000</t>
  </si>
  <si>
    <t>VS 1.000.000</t>
  </si>
  <si>
    <t>VS 1.500.000</t>
  </si>
  <si>
    <t>VS 2.000.000 (2-fach max.)</t>
  </si>
  <si>
    <t>Mindest-Prämie</t>
  </si>
  <si>
    <t>Alle Prämienangaben in EUR und zzgl. gesetzl. Vers.-St. (derzeit 19 %)</t>
  </si>
  <si>
    <r>
      <t>Für Geltungsbereich EUROPA (</t>
    </r>
    <r>
      <rPr>
        <sz val="11"/>
        <color rgb="FFFF0000"/>
        <rFont val="Calibri"/>
        <family val="2"/>
      </rPr>
      <t>geographisch</t>
    </r>
    <r>
      <rPr>
        <sz val="11"/>
        <color rgb="FF000000"/>
        <rFont val="Calibri"/>
        <family val="2"/>
      </rPr>
      <t>) 9,09 % Abschlag</t>
    </r>
  </si>
  <si>
    <t>Gesamtprovision Arag</t>
  </si>
  <si>
    <t>Prüfen, ob koopmakler-Provision in prozent ankommt oder nicht</t>
  </si>
  <si>
    <t>Nettoprovision Hendricks</t>
  </si>
  <si>
    <t>Nettoprovision Koopmakler</t>
  </si>
  <si>
    <t>s. Prämie-Arag</t>
  </si>
  <si>
    <t>s. Prämie-Roland</t>
  </si>
  <si>
    <t xml:space="preserve">Gründe Referral </t>
  </si>
  <si>
    <t>Formulierung Referraltrigger in den Mails</t>
  </si>
  <si>
    <t>Formulierung Trigger Referral Kartellrecht</t>
  </si>
  <si>
    <t>Status ARAG Referral</t>
  </si>
  <si>
    <t>DS 1</t>
  </si>
  <si>
    <t>DS 2</t>
  </si>
  <si>
    <t>DS 3</t>
  </si>
  <si>
    <t>Hilfstabelle</t>
  </si>
  <si>
    <t>Limit größer 1,5 Millionen Euro</t>
  </si>
  <si>
    <t>Es existiert ein Sublimit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</si>
  <si>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</si>
  <si>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</si>
  <si>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</si>
  <si>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</si>
  <si>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</si>
  <si>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</si>
  <si>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</si>
  <si>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</si>
  <si>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</si>
  <si>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</si>
  <si>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</si>
  <si>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</si>
  <si>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</si>
  <si>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</si>
  <si>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</si>
  <si>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</si>
  <si>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</si>
  <si>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</si>
  <si>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</si>
  <si>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</si>
  <si>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</si>
  <si>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</si>
  <si>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</si>
  <si>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</si>
  <si>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</si>
  <si>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</si>
  <si>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</si>
  <si>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</si>
  <si>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</si>
  <si>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</si>
  <si>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</si>
  <si>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</si>
  <si>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</si>
  <si>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</si>
  <si>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</si>
  <si>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</si>
  <si>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</si>
  <si>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</si>
  <si>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</si>
  <si>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</si>
  <si>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gAG</t>
  </si>
  <si>
    <t>GmbH &amp; Co.KGaA</t>
  </si>
  <si>
    <t>KGaA</t>
  </si>
  <si>
    <t>Land des Versicherungsnehmers</t>
  </si>
  <si>
    <t>6799 Holdings und andere Investmentgesellschaften - Sonstige Investoren</t>
  </si>
  <si>
    <t>Staffelung</t>
  </si>
  <si>
    <t>Zugehörige Staffel</t>
  </si>
  <si>
    <t>Prämien-Art</t>
  </si>
  <si>
    <t>Prämie Pro Mitarbeiter</t>
  </si>
  <si>
    <t>Die gelbmarkierten Felder werden aus den versichererspezifischen Branchen-Excels befüllt!</t>
  </si>
  <si>
    <t>Prämien-Anpassungen</t>
  </si>
  <si>
    <t>KO Trigger</t>
  </si>
  <si>
    <t>Nummer</t>
  </si>
  <si>
    <t>SV Sparkassen Versicherung</t>
  </si>
  <si>
    <t>AXA Alternative</t>
  </si>
  <si>
    <t>DirectLine</t>
  </si>
  <si>
    <t>Interlloyd VERSICHERUNGS-AG</t>
  </si>
  <si>
    <t>Mannheimer Versicherungen Holding AG</t>
  </si>
  <si>
    <t>Hiscox AG - Niederlassung für die Bundesrepublik Deutschland</t>
  </si>
  <si>
    <t>KRAVAG-ALLGEMEINE Versicherungs-Aktiengesellschaft</t>
  </si>
  <si>
    <t>Deutsche Internet</t>
  </si>
  <si>
    <t>HDI Privat Versicherung AG</t>
  </si>
  <si>
    <t>HUK 24 AG</t>
  </si>
  <si>
    <t>Westfälische Provinzial Versicherung AG</t>
  </si>
  <si>
    <t>Provinzial Versicherungsanstalt der Rheinprovinz</t>
  </si>
  <si>
    <t>Deutsche Familienversicherung</t>
  </si>
  <si>
    <t>Chubb European Group Limited - Direktion für Deutschland</t>
  </si>
  <si>
    <t>Zürich Versicherung AG</t>
  </si>
  <si>
    <t>Bayerische Beamten</t>
  </si>
  <si>
    <t>DBV Deutsche Beamten</t>
  </si>
  <si>
    <t>Allianz</t>
  </si>
  <si>
    <t>Badische Gemeinde</t>
  </si>
  <si>
    <t>Bayerische Hausbesitzer</t>
  </si>
  <si>
    <t>Bayerischer Vers. Verband</t>
  </si>
  <si>
    <t>Bruderhilfe</t>
  </si>
  <si>
    <t>Medien Versicherungs aG</t>
  </si>
  <si>
    <t>Condor Allgemeine</t>
  </si>
  <si>
    <t>Continentale</t>
  </si>
  <si>
    <t>A+M Versicherung</t>
  </si>
  <si>
    <t>DA Deutsche Allgemeine</t>
  </si>
  <si>
    <t>Deutscher Herold</t>
  </si>
  <si>
    <t>Landesschadenhilfe Versicherung VaG</t>
  </si>
  <si>
    <t>Frankfurter Versicherungs AG - Frankfurter Allianz</t>
  </si>
  <si>
    <t>GEGENSEITIGKEIT Versicherung Oldenburg VVaG</t>
  </si>
  <si>
    <t>Gerling-Konzern Allgemeine Versicherungs-AG</t>
  </si>
  <si>
    <t>HUK-COBURG-Allgemeine Versicherungs AG</t>
  </si>
  <si>
    <t>Helvetia - Schweizerische Versicherungsgesellschaft</t>
  </si>
  <si>
    <t>SV SparkassenVersicherung Hessen-Nassau-Thüringen</t>
  </si>
  <si>
    <t>Nova/Signal Iduna Versicherung Ag</t>
  </si>
  <si>
    <t>ASSTEL</t>
  </si>
  <si>
    <t>VGH Versicherungsgruppe Hannover</t>
  </si>
  <si>
    <t>Itzehoer Versicherung</t>
  </si>
  <si>
    <t>LVM Versicherungen</t>
  </si>
  <si>
    <t>Alte Leipziger</t>
  </si>
  <si>
    <t>Mecklenburgische Versicherungsgruppe Direktion</t>
  </si>
  <si>
    <t>Münchener Verein Allgemeine Versicherung-AG</t>
  </si>
  <si>
    <t>Nürnberger Allgemeine Versicherungs-Aktiengesellschaft</t>
  </si>
  <si>
    <t>Oldenburgische Landesbrandkasse</t>
  </si>
  <si>
    <t>Vereinte Spezial Versicherung AG</t>
  </si>
  <si>
    <t>SCHWEIZER-NATIONAL</t>
  </si>
  <si>
    <t>Basler Securitas</t>
  </si>
  <si>
    <t>Generali Versicherungs AG</t>
  </si>
  <si>
    <t>Transatlantische Allgemeine Versicherung AG</t>
  </si>
  <si>
    <t>Uelzener Allgemeine Versicherung-Ges.aG</t>
  </si>
  <si>
    <t>Provinzial Brandkasse Versicherungsanstalt Schleswig-Holstein</t>
  </si>
  <si>
    <t>Volksfürsorge Deutsche Lebensversicherung AG</t>
  </si>
  <si>
    <t>Württembergische und Badische Versicherung AG</t>
  </si>
  <si>
    <t>Volkswohl Bund Versicherungen</t>
  </si>
  <si>
    <t>ACE Automobil Club e.V.</t>
  </si>
  <si>
    <t>Hanse Merkur Versicherung</t>
  </si>
  <si>
    <t>GARANTA Versicherungs-AG</t>
  </si>
  <si>
    <t>EUROPA</t>
  </si>
  <si>
    <t>Karlsruher Versicherungs AG</t>
  </si>
  <si>
    <t>Aspecta Versicherung AG</t>
  </si>
  <si>
    <t>DEVK - Sach/HUK</t>
  </si>
  <si>
    <t>AXA</t>
  </si>
  <si>
    <t>Optima Versicherung-AG</t>
  </si>
  <si>
    <t>Württembergische Versicherung AG</t>
  </si>
  <si>
    <t>ROLAND Schutzbrief-Versicherung AG</t>
  </si>
  <si>
    <t>Gothaer Allgemeine Versicherungs AG</t>
  </si>
  <si>
    <t>KS Kraftfahrer-Schutz</t>
  </si>
  <si>
    <t>Debeka Allgemeine</t>
  </si>
  <si>
    <t>AIOI Insurance Company</t>
  </si>
  <si>
    <t>Cosmos</t>
  </si>
  <si>
    <t>Karlsruher Beamten-Versicherung AG</t>
  </si>
  <si>
    <t>Ideal Versicherung AG</t>
  </si>
  <si>
    <t>ADLER</t>
  </si>
  <si>
    <t>GVV-Privatversicherung AG</t>
  </si>
  <si>
    <t>AIG Europe S.A. Paris</t>
  </si>
  <si>
    <t>VHV Vereinigte Hannoversche Versicherung aG</t>
  </si>
  <si>
    <t>Generali Lloyd</t>
  </si>
  <si>
    <t>Sicher Direkt &gt;Roland</t>
  </si>
  <si>
    <t>Basler Securitas &gt;&gt; ROLAND</t>
  </si>
  <si>
    <t>Europe Assistance</t>
  </si>
  <si>
    <t>Laeisz-Versicherung</t>
  </si>
  <si>
    <t>Minerva Versicherungs-AG</t>
  </si>
  <si>
    <t>SAARLAND Feuerversicherung AG</t>
  </si>
  <si>
    <t>Telcon Versicherung AG</t>
  </si>
  <si>
    <t>Sparkassen Versicherung Sachsen Allgemeine Versicherung AG</t>
  </si>
  <si>
    <t>Württembergische Versicherungen</t>
  </si>
  <si>
    <t>OVAG ¬ Ostdeutsche Versicherung AG</t>
  </si>
  <si>
    <t>Baden-Badener</t>
  </si>
  <si>
    <t>Rheinland Versicherungs AG</t>
  </si>
  <si>
    <t>ARAG Rechtsschutz AG</t>
  </si>
  <si>
    <t>Auxilia</t>
  </si>
  <si>
    <t>D.A.S. - (ERGO-Gruppe)</t>
  </si>
  <si>
    <t>Deurag</t>
  </si>
  <si>
    <t>Neue Rechtsschutz-Versicherungsgesellschaft AG</t>
  </si>
  <si>
    <t>RECHTSSCHUTZ UNION Versicherung-AG</t>
  </si>
  <si>
    <t>ROLAND Rechtsschutz-Versicherungs-AG</t>
  </si>
  <si>
    <t>AdvoCard</t>
  </si>
  <si>
    <t>Jurpartner AG</t>
  </si>
  <si>
    <t>ÖRAG Rechtsschutzversicherung AG</t>
  </si>
  <si>
    <t>HUK Coburg</t>
  </si>
  <si>
    <t>ALLRECHT</t>
  </si>
  <si>
    <t>ADAC</t>
  </si>
  <si>
    <t>HDI Rechtsschutzversicherung AG</t>
  </si>
  <si>
    <t>Hamburg-Mannheimer Versicherung</t>
  </si>
  <si>
    <t>DEVK</t>
  </si>
  <si>
    <t>Concordia Versicherungsgruppe - Direktion Abt. RS-L</t>
  </si>
  <si>
    <t>Württembergische Gemeinde-Versicherung</t>
  </si>
  <si>
    <t>DBV-Winterthur</t>
  </si>
  <si>
    <t>DMB</t>
  </si>
  <si>
    <t>R+V Rechtsschutz-Schadenregulierungs-GmbH</t>
  </si>
  <si>
    <t>Badische</t>
  </si>
  <si>
    <t>Ineas Insurance</t>
  </si>
  <si>
    <t>AVD</t>
  </si>
  <si>
    <t>dual</t>
  </si>
  <si>
    <t>DUAL Deutschland GmbH</t>
  </si>
  <si>
    <t>Lippische Landes-Brandversicherungsanstalt</t>
  </si>
  <si>
    <t>Merkur Assistance AG Holding</t>
  </si>
  <si>
    <t>Neckermann Versicherungen</t>
  </si>
  <si>
    <t>Öffentliche Feuerversicherung Sachsen-Anhalt</t>
  </si>
  <si>
    <t>Öffentliche Sachversicherung Braunschweig</t>
  </si>
  <si>
    <t>Oldenburgische Landesbank AG</t>
  </si>
  <si>
    <t>Quelle Versicherung AG</t>
  </si>
  <si>
    <t>OTHER</t>
  </si>
  <si>
    <t>Anderer</t>
  </si>
  <si>
    <t>Versicherungsgesellschaft des Vorvertrags</t>
  </si>
  <si>
    <t>5036</t>
  </si>
  <si>
    <t>5055</t>
  </si>
  <si>
    <t>5057</t>
  </si>
  <si>
    <t>5061</t>
  </si>
  <si>
    <t>5079</t>
  </si>
  <si>
    <t>5080</t>
  </si>
  <si>
    <t>5086</t>
  </si>
  <si>
    <t>5095</t>
  </si>
  <si>
    <t>5129</t>
  </si>
  <si>
    <t>5151</t>
  </si>
  <si>
    <t>5310</t>
  </si>
  <si>
    <t>5312</t>
  </si>
  <si>
    <t>5316</t>
  </si>
  <si>
    <t>5319</t>
  </si>
  <si>
    <t>5324</t>
  </si>
  <si>
    <t>5333</t>
  </si>
  <si>
    <t>5334</t>
  </si>
  <si>
    <t>5339</t>
  </si>
  <si>
    <t>5340</t>
  </si>
  <si>
    <t>5342</t>
  </si>
  <si>
    <t>5343</t>
  </si>
  <si>
    <t>5347</t>
  </si>
  <si>
    <t>5362</t>
  </si>
  <si>
    <t>5364</t>
  </si>
  <si>
    <t>5365</t>
  </si>
  <si>
    <t>5368</t>
  </si>
  <si>
    <t>5375</t>
  </si>
  <si>
    <t>5384</t>
  </si>
  <si>
    <t>5385</t>
  </si>
  <si>
    <t>5390</t>
  </si>
  <si>
    <t>5397</t>
  </si>
  <si>
    <t>5401</t>
  </si>
  <si>
    <t>5402</t>
  </si>
  <si>
    <t>5412</t>
  </si>
  <si>
    <t>5414</t>
  </si>
  <si>
    <t>5426</t>
  </si>
  <si>
    <t>5430</t>
  </si>
  <si>
    <t>5448</t>
  </si>
  <si>
    <t>5456</t>
  </si>
  <si>
    <t>5466</t>
  </si>
  <si>
    <t>5480</t>
  </si>
  <si>
    <t>5484</t>
  </si>
  <si>
    <t>5487</t>
  </si>
  <si>
    <t>5501</t>
  </si>
  <si>
    <t>5505</t>
  </si>
  <si>
    <t>5508</t>
  </si>
  <si>
    <t>5509</t>
  </si>
  <si>
    <t>5512</t>
  </si>
  <si>
    <t>5513</t>
  </si>
  <si>
    <t>5515</t>
  </si>
  <si>
    <t>5519</t>
  </si>
  <si>
    <t>5525</t>
  </si>
  <si>
    <t>5528</t>
  </si>
  <si>
    <t>5534</t>
  </si>
  <si>
    <t>5549</t>
  </si>
  <si>
    <t>5552</t>
  </si>
  <si>
    <t>5570</t>
  </si>
  <si>
    <t>5573</t>
  </si>
  <si>
    <t>5581</t>
  </si>
  <si>
    <t>5585</t>
  </si>
  <si>
    <t>5595</t>
  </si>
  <si>
    <t>5598</t>
  </si>
  <si>
    <t>5607</t>
  </si>
  <si>
    <t>5633</t>
  </si>
  <si>
    <t>5638</t>
  </si>
  <si>
    <t>5656</t>
  </si>
  <si>
    <t>5671</t>
  </si>
  <si>
    <t>5773</t>
  </si>
  <si>
    <t>5776</t>
  </si>
  <si>
    <t>5781</t>
  </si>
  <si>
    <t>5783</t>
  </si>
  <si>
    <t>5787</t>
  </si>
  <si>
    <t>5792</t>
  </si>
  <si>
    <t>5798</t>
  </si>
  <si>
    <t>5801</t>
  </si>
  <si>
    <t>5802</t>
  </si>
  <si>
    <t>5803</t>
  </si>
  <si>
    <t>5805</t>
  </si>
  <si>
    <t>5806</t>
  </si>
  <si>
    <t>5807</t>
  </si>
  <si>
    <t>5809</t>
  </si>
  <si>
    <t>5818</t>
  </si>
  <si>
    <t>5825</t>
  </si>
  <si>
    <t>5826</t>
  </si>
  <si>
    <t>5827</t>
  </si>
  <si>
    <t>5828</t>
  </si>
  <si>
    <t>5829</t>
  </si>
  <si>
    <t>5831</t>
  </si>
  <si>
    <t>5832</t>
  </si>
  <si>
    <t>5833</t>
  </si>
  <si>
    <t>5834</t>
  </si>
  <si>
    <t>5836</t>
  </si>
  <si>
    <t>5838</t>
  </si>
  <si>
    <t>7587</t>
  </si>
  <si>
    <t>505</t>
  </si>
  <si>
    <t>501</t>
  </si>
  <si>
    <t>506</t>
  </si>
  <si>
    <t>40</t>
  </si>
  <si>
    <t>Einzelunternehmen</t>
  </si>
  <si>
    <t>Tochtergesellschaften und mitversicherte Unternehmen</t>
  </si>
  <si>
    <t>Grobindikation TAW Code</t>
  </si>
  <si>
    <t>Grobindikation TAW Description</t>
  </si>
  <si>
    <t>TAW Code Roland</t>
  </si>
  <si>
    <t>Versicherte Branche gem. Antrag RKL 2 USRU</t>
  </si>
  <si>
    <t>Versicherte Branche gem. Antrag RKL 3 USRU</t>
  </si>
  <si>
    <t>1033</t>
  </si>
  <si>
    <t>Es gibt MVU</t>
  </si>
  <si>
    <t>MVU im EWR</t>
  </si>
  <si>
    <t>TU / MVU außerhalb 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</si>
</sst>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€&quot;_-;\-* #,##0.00\ &quot;€&quot;_-;_-* &quot;-&quot;??\ &quot;€&quot;_-;_-@_-"/>
    <numFmt numFmtId="164" formatCode="dd\.mm\.yyyy"/>
    <numFmt numFmtId="165" formatCode="_-* #,##0.00\ [$€-1]_-;\-* #,##0.00\ [$€-1]_-;_-* &quot;-&quot;??\ [$€-1]_-;_-@"/>
    <numFmt numFmtId="166" formatCode="#,##0.00\ [$€-1]"/>
    <numFmt numFmtId="167" formatCode="#,##0.00\ &quot;€&quot;"/>
  </numFmts>
  <fonts count="23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4"/>
      <color rgb="FFFF66FF"/>
      <name val="Arial"/>
      <family val="2"/>
    </font>
    <font>
      <sz val="11"/>
      <color rgb="FF000000"/>
      <name val="Inconsolata"/>
    </font>
    <font>
      <b/>
      <sz val="12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3F3F76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FBE4D5"/>
        <bgColor rgb="FFFBE4D5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4A86E8"/>
        <bgColor rgb="FF4A86E8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FE2F3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rgb="FFF1C232"/>
      </patternFill>
    </fill>
    <fill>
      <patternFill patternType="solid">
        <fgColor theme="0" tint="-0.499984740745262"/>
        <bgColor rgb="FFD9EAD3"/>
      </patternFill>
    </fill>
    <fill>
      <patternFill patternType="solid">
        <fgColor rgb="FFCFE2F3"/>
        <bgColor indexed="64"/>
      </patternFill>
    </fill>
    <fill>
      <patternFill patternType="solid">
        <fgColor theme="5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FBE4D5"/>
      </patternFill>
    </fill>
    <fill>
      <patternFill patternType="solid">
        <fgColor theme="0" tint="-0.499984740745262"/>
        <bgColor rgb="FFFFF2CC"/>
      </patternFill>
    </fill>
    <fill>
      <patternFill patternType="solid">
        <fgColor theme="7" tint="0.79998168889431442"/>
        <bgColor rgb="FFFFE599"/>
      </patternFill>
    </fill>
    <fill>
      <patternFill patternType="solid">
        <fgColor rgb="FFF7CAAC"/>
        <bgColor rgb="FFF7CAAC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3" fillId="0" borderId="0"/>
    <xf numFmtId="0" fontId="22" fillId="44" borderId="27" applyNumberFormat="0" applyAlignment="0" applyProtection="0"/>
    <xf numFmtId="0" fontId="1" fillId="45" borderId="0" applyNumberFormat="0" applyBorder="0" applyAlignment="0" applyProtection="0"/>
  </cellStyleXfs>
  <cellXfs count="2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left" wrapText="1"/>
    </xf>
    <xf numFmtId="49" fontId="0" fillId="5" borderId="0" xfId="0" applyNumberFormat="1" applyFill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0" fillId="0" borderId="0" xfId="0" applyAlignment="1">
      <alignment vertical="center"/>
    </xf>
    <xf numFmtId="0" fontId="0" fillId="5" borderId="0" xfId="0" applyFill="1" applyAlignment="1">
      <alignment horizontal="right" vertical="center"/>
    </xf>
    <xf numFmtId="164" fontId="0" fillId="6" borderId="0" xfId="0" applyNumberFormat="1" applyFill="1" applyAlignment="1">
      <alignment horizontal="right" vertical="center"/>
    </xf>
    <xf numFmtId="165" fontId="0" fillId="6" borderId="0" xfId="0" applyNumberFormat="1" applyFill="1" applyAlignment="1">
      <alignment horizontal="right" vertical="center"/>
    </xf>
    <xf numFmtId="0" fontId="0" fillId="5" borderId="0" xfId="0" applyFill="1" applyAlignment="1">
      <alignment wrapText="1"/>
    </xf>
    <xf numFmtId="10" fontId="0" fillId="6" borderId="0" xfId="0" applyNumberFormat="1" applyFill="1" applyAlignment="1">
      <alignment horizontal="right" vertical="center"/>
    </xf>
    <xf numFmtId="0" fontId="0" fillId="5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49" fontId="0" fillId="2" borderId="0" xfId="0" applyNumberFormat="1" applyFill="1" applyAlignment="1">
      <alignment horizontal="right" vertical="center"/>
    </xf>
    <xf numFmtId="49" fontId="0" fillId="7" borderId="0" xfId="0" applyNumberFormat="1" applyFill="1" applyAlignment="1">
      <alignment horizontal="right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/>
    </xf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 applyAlignment="1">
      <alignment horizontal="center" vertical="center"/>
    </xf>
    <xf numFmtId="166" fontId="4" fillId="6" borderId="0" xfId="0" applyNumberFormat="1" applyFont="1" applyFill="1" applyAlignment="1">
      <alignment horizontal="right" vertical="center"/>
    </xf>
    <xf numFmtId="4" fontId="4" fillId="6" borderId="0" xfId="0" applyNumberFormat="1" applyFont="1" applyFill="1" applyAlignment="1">
      <alignment horizontal="center" vertical="center"/>
    </xf>
    <xf numFmtId="0" fontId="4" fillId="6" borderId="0" xfId="0" applyFont="1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ill="1"/>
    <xf numFmtId="49" fontId="5" fillId="10" borderId="0" xfId="0" applyNumberFormat="1" applyFont="1" applyFill="1"/>
    <xf numFmtId="49" fontId="5" fillId="11" borderId="0" xfId="0" applyNumberFormat="1" applyFont="1" applyFill="1"/>
    <xf numFmtId="49" fontId="5" fillId="12" borderId="0" xfId="0" applyNumberFormat="1" applyFont="1" applyFill="1"/>
    <xf numFmtId="49" fontId="4" fillId="0" borderId="0" xfId="0" applyNumberFormat="1" applyFont="1"/>
    <xf numFmtId="49" fontId="4" fillId="6" borderId="0" xfId="0" applyNumberFormat="1" applyFont="1" applyFill="1"/>
    <xf numFmtId="49" fontId="4" fillId="13" borderId="0" xfId="0" applyNumberFormat="1" applyFont="1" applyFill="1"/>
    <xf numFmtId="49" fontId="6" fillId="14" borderId="1" xfId="0" applyNumberFormat="1" applyFont="1" applyFill="1" applyBorder="1" applyAlignment="1">
      <alignment horizontal="left" vertical="top"/>
    </xf>
    <xf numFmtId="49" fontId="6" fillId="14" borderId="2" xfId="0" applyNumberFormat="1" applyFont="1" applyFill="1" applyBorder="1" applyAlignment="1">
      <alignment horizontal="left" vertical="top"/>
    </xf>
    <xf numFmtId="49" fontId="7" fillId="0" borderId="3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/>
    </xf>
    <xf numFmtId="49" fontId="7" fillId="0" borderId="2" xfId="0" applyNumberFormat="1" applyFont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4" fillId="0" borderId="0" xfId="0" applyFont="1"/>
    <xf numFmtId="0" fontId="4" fillId="5" borderId="0" xfId="0" applyFont="1" applyFill="1" applyAlignment="1">
      <alignment wrapText="1"/>
    </xf>
    <xf numFmtId="49" fontId="4" fillId="5" borderId="0" xfId="0" applyNumberFormat="1" applyFont="1" applyFill="1" applyAlignment="1">
      <alignment horizontal="right"/>
    </xf>
    <xf numFmtId="4" fontId="4" fillId="6" borderId="0" xfId="0" applyNumberFormat="1" applyFont="1" applyFill="1"/>
    <xf numFmtId="0" fontId="4" fillId="5" borderId="0" xfId="0" applyFont="1" applyFill="1" applyAlignment="1">
      <alignment horizontal="right"/>
    </xf>
    <xf numFmtId="0" fontId="4" fillId="10" borderId="0" xfId="0" applyFont="1" applyFill="1" applyAlignment="1">
      <alignment wrapText="1"/>
    </xf>
    <xf numFmtId="0" fontId="4" fillId="10" borderId="0" xfId="0" applyFont="1" applyFill="1" applyAlignment="1">
      <alignment horizontal="right"/>
    </xf>
    <xf numFmtId="0" fontId="4" fillId="7" borderId="0" xfId="0" applyFont="1" applyFill="1"/>
    <xf numFmtId="0" fontId="4" fillId="7" borderId="0" xfId="0" applyFont="1" applyFill="1" applyAlignment="1">
      <alignment horizontal="right"/>
    </xf>
    <xf numFmtId="0" fontId="4" fillId="10" borderId="0" xfId="0" applyFont="1" applyFill="1"/>
    <xf numFmtId="4" fontId="4" fillId="10" borderId="0" xfId="0" applyNumberFormat="1" applyFont="1" applyFill="1"/>
    <xf numFmtId="0" fontId="4" fillId="0" borderId="0" xfId="0" applyFont="1" applyAlignment="1">
      <alignment horizontal="right"/>
    </xf>
    <xf numFmtId="0" fontId="4" fillId="3" borderId="0" xfId="0" applyFont="1" applyFill="1"/>
    <xf numFmtId="0" fontId="4" fillId="16" borderId="0" xfId="0" applyFont="1" applyFill="1" applyAlignment="1">
      <alignment horizontal="center"/>
    </xf>
    <xf numFmtId="4" fontId="4" fillId="6" borderId="0" xfId="0" applyNumberFormat="1" applyFont="1" applyFill="1" applyAlignment="1">
      <alignment horizontal="right"/>
    </xf>
    <xf numFmtId="49" fontId="4" fillId="0" borderId="0" xfId="0" applyNumberFormat="1" applyFont="1" applyAlignment="1">
      <alignment horizontal="right"/>
    </xf>
    <xf numFmtId="4" fontId="4" fillId="5" borderId="0" xfId="0" applyNumberFormat="1" applyFont="1" applyFill="1"/>
    <xf numFmtId="0" fontId="4" fillId="6" borderId="0" xfId="0" applyFont="1" applyFill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17" borderId="0" xfId="0" applyFont="1" applyFill="1" applyAlignment="1">
      <alignment horizontal="center"/>
    </xf>
    <xf numFmtId="0" fontId="2" fillId="17" borderId="0" xfId="0" applyFont="1" applyFill="1" applyAlignment="1">
      <alignment horizontal="center" vertical="center"/>
    </xf>
    <xf numFmtId="0" fontId="8" fillId="5" borderId="0" xfId="0" applyFont="1" applyFill="1"/>
    <xf numFmtId="4" fontId="8" fillId="5" borderId="0" xfId="0" applyNumberFormat="1" applyFont="1" applyFill="1"/>
    <xf numFmtId="4" fontId="8" fillId="19" borderId="0" xfId="0" applyNumberFormat="1" applyFont="1" applyFill="1"/>
    <xf numFmtId="4" fontId="9" fillId="20" borderId="0" xfId="0" applyNumberFormat="1" applyFont="1" applyFill="1"/>
    <xf numFmtId="4" fontId="8" fillId="20" borderId="0" xfId="0" applyNumberFormat="1" applyFont="1" applyFill="1"/>
    <xf numFmtId="0" fontId="4" fillId="13" borderId="0" xfId="0" applyFont="1" applyFill="1"/>
    <xf numFmtId="0" fontId="4" fillId="21" borderId="0" xfId="0" applyFont="1" applyFill="1"/>
    <xf numFmtId="4" fontId="4" fillId="0" borderId="0" xfId="0" applyNumberFormat="1" applyFont="1"/>
    <xf numFmtId="0" fontId="4" fillId="22" borderId="0" xfId="0" applyFont="1" applyFill="1"/>
    <xf numFmtId="0" fontId="4" fillId="19" borderId="0" xfId="0" applyFont="1" applyFill="1"/>
    <xf numFmtId="0" fontId="5" fillId="0" borderId="0" xfId="0" applyFont="1"/>
    <xf numFmtId="0" fontId="5" fillId="14" borderId="0" xfId="0" applyFont="1" applyFill="1"/>
    <xf numFmtId="0" fontId="5" fillId="14" borderId="0" xfId="0" applyFont="1" applyFill="1" applyAlignment="1">
      <alignment horizontal="right"/>
    </xf>
    <xf numFmtId="0" fontId="4" fillId="23" borderId="0" xfId="0" applyFont="1" applyFill="1"/>
    <xf numFmtId="0" fontId="11" fillId="24" borderId="0" xfId="0" applyFont="1" applyFill="1"/>
    <xf numFmtId="0" fontId="9" fillId="24" borderId="0" xfId="0" applyFont="1" applyFill="1"/>
    <xf numFmtId="0" fontId="12" fillId="0" borderId="0" xfId="0" applyFont="1"/>
    <xf numFmtId="0" fontId="4" fillId="23" borderId="0" xfId="0" applyFont="1" applyFill="1" applyAlignment="1">
      <alignment horizontal="left"/>
    </xf>
    <xf numFmtId="0" fontId="4" fillId="23" borderId="0" xfId="0" applyFont="1" applyFill="1" applyAlignment="1">
      <alignment horizontal="right"/>
    </xf>
    <xf numFmtId="0" fontId="13" fillId="0" borderId="0" xfId="0" applyFont="1"/>
    <xf numFmtId="0" fontId="4" fillId="25" borderId="0" xfId="0" applyFont="1" applyFill="1" applyAlignment="1">
      <alignment wrapText="1"/>
    </xf>
    <xf numFmtId="0" fontId="0" fillId="26" borderId="0" xfId="0" applyFill="1"/>
    <xf numFmtId="49" fontId="4" fillId="27" borderId="0" xfId="0" applyNumberFormat="1" applyFont="1" applyFill="1"/>
    <xf numFmtId="0" fontId="13" fillId="8" borderId="0" xfId="0" applyFont="1" applyFill="1" applyAlignment="1">
      <alignment horizontal="center"/>
    </xf>
    <xf numFmtId="0" fontId="4" fillId="28" borderId="0" xfId="0" applyFont="1" applyFill="1" applyAlignment="1">
      <alignment horizontal="center" vertical="center"/>
    </xf>
    <xf numFmtId="166" fontId="4" fillId="28" borderId="0" xfId="0" applyNumberFormat="1" applyFont="1" applyFill="1" applyAlignment="1">
      <alignment horizontal="right" vertical="center"/>
    </xf>
    <xf numFmtId="4" fontId="4" fillId="28" borderId="0" xfId="0" applyNumberFormat="1" applyFont="1" applyFill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4" fillId="6" borderId="5" xfId="0" applyFont="1" applyFill="1" applyBorder="1"/>
    <xf numFmtId="0" fontId="4" fillId="10" borderId="5" xfId="0" applyFont="1" applyFill="1" applyBorder="1"/>
    <xf numFmtId="0" fontId="0" fillId="0" borderId="5" xfId="0" applyBorder="1"/>
    <xf numFmtId="0" fontId="4" fillId="29" borderId="0" xfId="0" applyFont="1" applyFill="1"/>
    <xf numFmtId="0" fontId="0" fillId="29" borderId="0" xfId="0" applyFill="1"/>
    <xf numFmtId="0" fontId="4" fillId="32" borderId="0" xfId="0" applyFont="1" applyFill="1"/>
    <xf numFmtId="0" fontId="0" fillId="32" borderId="0" xfId="0" applyFill="1"/>
    <xf numFmtId="0" fontId="14" fillId="33" borderId="0" xfId="0" applyFont="1" applyFill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16" fillId="10" borderId="0" xfId="1" applyFont="1" applyFill="1" applyAlignment="1">
      <alignment horizontal="right"/>
    </xf>
    <xf numFmtId="0" fontId="16" fillId="0" borderId="0" xfId="1" applyFont="1"/>
    <xf numFmtId="0" fontId="13" fillId="0" borderId="0" xfId="1"/>
    <xf numFmtId="0" fontId="13" fillId="5" borderId="0" xfId="1" applyFill="1" applyAlignment="1">
      <alignment horizontal="right" vertical="center"/>
    </xf>
    <xf numFmtId="49" fontId="16" fillId="0" borderId="0" xfId="1" applyNumberFormat="1" applyFont="1"/>
    <xf numFmtId="0" fontId="13" fillId="0" borderId="0" xfId="1" applyAlignment="1">
      <alignment horizontal="right" vertical="center"/>
    </xf>
    <xf numFmtId="49" fontId="16" fillId="0" borderId="0" xfId="1" applyNumberFormat="1" applyFont="1" applyAlignment="1">
      <alignment horizontal="right"/>
    </xf>
    <xf numFmtId="0" fontId="16" fillId="5" borderId="0" xfId="1" applyFont="1" applyFill="1" applyAlignment="1">
      <alignment horizontal="right"/>
    </xf>
    <xf numFmtId="4" fontId="16" fillId="5" borderId="0" xfId="1" applyNumberFormat="1" applyFont="1" applyFill="1"/>
    <xf numFmtId="0" fontId="16" fillId="6" borderId="0" xfId="1" applyFont="1" applyFill="1" applyAlignment="1">
      <alignment horizontal="right"/>
    </xf>
    <xf numFmtId="0" fontId="16" fillId="6" borderId="0" xfId="1" applyFont="1" applyFill="1"/>
    <xf numFmtId="0" fontId="15" fillId="2" borderId="0" xfId="1" applyFont="1" applyFill="1" applyAlignment="1">
      <alignment horizontal="center"/>
    </xf>
    <xf numFmtId="0" fontId="15" fillId="2" borderId="4" xfId="1" applyFont="1" applyFill="1" applyBorder="1" applyAlignment="1">
      <alignment horizontal="center"/>
    </xf>
    <xf numFmtId="0" fontId="15" fillId="17" borderId="0" xfId="1" applyFont="1" applyFill="1" applyAlignment="1">
      <alignment horizontal="center"/>
    </xf>
    <xf numFmtId="0" fontId="15" fillId="18" borderId="0" xfId="1" applyFont="1" applyFill="1" applyAlignment="1">
      <alignment horizontal="center" vertical="center"/>
    </xf>
    <xf numFmtId="0" fontId="15" fillId="17" borderId="0" xfId="1" applyFont="1" applyFill="1" applyAlignment="1">
      <alignment horizontal="center" vertical="center"/>
    </xf>
    <xf numFmtId="0" fontId="17" fillId="5" borderId="0" xfId="1" applyFont="1" applyFill="1"/>
    <xf numFmtId="4" fontId="17" fillId="5" borderId="0" xfId="1" applyNumberFormat="1" applyFont="1" applyFill="1"/>
    <xf numFmtId="4" fontId="17" fillId="19" borderId="0" xfId="1" applyNumberFormat="1" applyFont="1" applyFill="1"/>
    <xf numFmtId="4" fontId="18" fillId="20" borderId="0" xfId="1" applyNumberFormat="1" applyFont="1" applyFill="1"/>
    <xf numFmtId="4" fontId="17" fillId="20" borderId="0" xfId="1" applyNumberFormat="1" applyFont="1" applyFill="1"/>
    <xf numFmtId="0" fontId="16" fillId="0" borderId="0" xfId="1" applyFont="1" applyAlignment="1">
      <alignment horizontal="right"/>
    </xf>
    <xf numFmtId="0" fontId="4" fillId="34" borderId="0" xfId="0" applyFont="1" applyFill="1" applyAlignment="1">
      <alignment horizontal="right"/>
    </xf>
    <xf numFmtId="0" fontId="0" fillId="35" borderId="7" xfId="0" applyFill="1" applyBorder="1" applyAlignment="1">
      <alignment horizontal="center" vertical="center"/>
    </xf>
    <xf numFmtId="0" fontId="0" fillId="0" borderId="7" xfId="0" applyBorder="1"/>
    <xf numFmtId="4" fontId="0" fillId="0" borderId="7" xfId="0" applyNumberFormat="1" applyBorder="1"/>
    <xf numFmtId="4" fontId="0" fillId="0" borderId="0" xfId="0" applyNumberFormat="1"/>
    <xf numFmtId="4" fontId="16" fillId="36" borderId="0" xfId="1" applyNumberFormat="1" applyFont="1" applyFill="1" applyAlignment="1">
      <alignment horizontal="right"/>
    </xf>
    <xf numFmtId="0" fontId="16" fillId="37" borderId="0" xfId="1" applyFont="1" applyFill="1"/>
    <xf numFmtId="4" fontId="16" fillId="38" borderId="0" xfId="1" applyNumberFormat="1" applyFont="1" applyFill="1"/>
    <xf numFmtId="0" fontId="4" fillId="32" borderId="5" xfId="0" applyFont="1" applyFill="1" applyBorder="1"/>
    <xf numFmtId="0" fontId="4" fillId="29" borderId="5" xfId="0" applyFont="1" applyFill="1" applyBorder="1"/>
    <xf numFmtId="0" fontId="0" fillId="32" borderId="5" xfId="0" applyFill="1" applyBorder="1"/>
    <xf numFmtId="0" fontId="0" fillId="39" borderId="0" xfId="0" applyFill="1"/>
    <xf numFmtId="0" fontId="16" fillId="6" borderId="5" xfId="0" applyFont="1" applyFill="1" applyBorder="1"/>
    <xf numFmtId="14" fontId="0" fillId="5" borderId="0" xfId="0" applyNumberFormat="1" applyFill="1" applyAlignment="1">
      <alignment horizontal="right" vertical="center"/>
    </xf>
    <xf numFmtId="0" fontId="13" fillId="37" borderId="0" xfId="0" applyFont="1" applyFill="1"/>
    <xf numFmtId="0" fontId="0" fillId="40" borderId="0" xfId="0" applyFill="1"/>
    <xf numFmtId="44" fontId="0" fillId="0" borderId="0" xfId="0" applyNumberFormat="1"/>
    <xf numFmtId="0" fontId="0" fillId="30" borderId="0" xfId="0" applyFill="1"/>
    <xf numFmtId="167" fontId="0" fillId="26" borderId="0" xfId="0" applyNumberFormat="1" applyFill="1"/>
    <xf numFmtId="4" fontId="16" fillId="41" borderId="0" xfId="1" applyNumberFormat="1" applyFont="1" applyFill="1"/>
    <xf numFmtId="0" fontId="4" fillId="0" borderId="0" xfId="0" applyFont="1" applyAlignment="1">
      <alignment horizontal="center"/>
    </xf>
    <xf numFmtId="0" fontId="16" fillId="32" borderId="0" xfId="0" applyFont="1" applyFill="1"/>
    <xf numFmtId="49" fontId="0" fillId="9" borderId="0" xfId="0" applyNumberFormat="1" applyFill="1" applyAlignment="1">
      <alignment horizontal="left"/>
    </xf>
    <xf numFmtId="0" fontId="14" fillId="31" borderId="0" xfId="0" applyFont="1" applyFill="1" applyAlignment="1">
      <alignment horizontal="center"/>
    </xf>
    <xf numFmtId="0" fontId="0" fillId="30" borderId="0" xfId="0" applyFill="1" applyAlignment="1">
      <alignment horizontal="center"/>
    </xf>
    <xf numFmtId="0" fontId="4" fillId="42" borderId="0" xfId="0" applyFont="1" applyFill="1"/>
    <xf numFmtId="0" fontId="19" fillId="38" borderId="0" xfId="0" applyFont="1" applyFill="1"/>
    <xf numFmtId="0" fontId="4" fillId="42" borderId="5" xfId="0" applyFont="1" applyFill="1" applyBorder="1"/>
    <xf numFmtId="0" fontId="0" fillId="35" borderId="10" xfId="0" applyFill="1" applyBorder="1" applyAlignment="1">
      <alignment horizontal="center" vertical="center"/>
    </xf>
    <xf numFmtId="0" fontId="0" fillId="35" borderId="6" xfId="0" applyFill="1" applyBorder="1" applyAlignment="1">
      <alignment horizontal="center" vertical="center"/>
    </xf>
    <xf numFmtId="0" fontId="0" fillId="35" borderId="8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" fontId="0" fillId="0" borderId="10" xfId="0" applyNumberFormat="1" applyBorder="1"/>
    <xf numFmtId="0" fontId="0" fillId="35" borderId="13" xfId="0" applyFill="1" applyBorder="1" applyAlignment="1">
      <alignment horizontal="center" vertical="center"/>
    </xf>
    <xf numFmtId="4" fontId="0" fillId="0" borderId="11" xfId="0" applyNumberFormat="1" applyBorder="1"/>
    <xf numFmtId="0" fontId="0" fillId="35" borderId="15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4" fontId="0" fillId="0" borderId="15" xfId="0" applyNumberFormat="1" applyBorder="1"/>
    <xf numFmtId="0" fontId="0" fillId="35" borderId="16" xfId="0" applyFill="1" applyBorder="1" applyAlignment="1">
      <alignment horizontal="center" vertical="center"/>
    </xf>
    <xf numFmtId="0" fontId="0" fillId="26" borderId="11" xfId="0" applyFill="1" applyBorder="1"/>
    <xf numFmtId="2" fontId="0" fillId="0" borderId="0" xfId="0" applyNumberFormat="1"/>
    <xf numFmtId="0" fontId="0" fillId="0" borderId="6" xfId="0" applyBorder="1"/>
    <xf numFmtId="0" fontId="0" fillId="26" borderId="17" xfId="0" applyFill="1" applyBorder="1"/>
    <xf numFmtId="0" fontId="13" fillId="0" borderId="18" xfId="0" applyFont="1" applyBorder="1"/>
    <xf numFmtId="4" fontId="0" fillId="0" borderId="21" xfId="0" applyNumberFormat="1" applyBorder="1"/>
    <xf numFmtId="4" fontId="0" fillId="0" borderId="17" xfId="0" applyNumberFormat="1" applyBorder="1"/>
    <xf numFmtId="4" fontId="0" fillId="0" borderId="22" xfId="0" applyNumberFormat="1" applyBorder="1"/>
    <xf numFmtId="4" fontId="0" fillId="0" borderId="6" xfId="0" applyNumberFormat="1" applyBorder="1"/>
    <xf numFmtId="4" fontId="0" fillId="0" borderId="23" xfId="0" applyNumberFormat="1" applyBorder="1"/>
    <xf numFmtId="4" fontId="0" fillId="0" borderId="19" xfId="0" applyNumberFormat="1" applyBorder="1"/>
    <xf numFmtId="2" fontId="0" fillId="0" borderId="23" xfId="0" applyNumberFormat="1" applyBorder="1"/>
    <xf numFmtId="167" fontId="0" fillId="0" borderId="19" xfId="0" applyNumberFormat="1" applyBorder="1"/>
    <xf numFmtId="167" fontId="0" fillId="0" borderId="23" xfId="0" applyNumberFormat="1" applyBorder="1"/>
    <xf numFmtId="167" fontId="0" fillId="0" borderId="24" xfId="0" applyNumberFormat="1" applyBorder="1"/>
    <xf numFmtId="4" fontId="4" fillId="0" borderId="0" xfId="0" applyNumberFormat="1" applyFont="1" applyAlignment="1">
      <alignment horizontal="center" vertical="center"/>
    </xf>
    <xf numFmtId="0" fontId="15" fillId="0" borderId="0" xfId="0" applyFont="1"/>
    <xf numFmtId="0" fontId="21" fillId="9" borderId="5" xfId="0" applyFont="1" applyFill="1" applyBorder="1" applyAlignment="1">
      <alignment horizontal="center" vertical="center" wrapText="1"/>
    </xf>
    <xf numFmtId="0" fontId="0" fillId="37" borderId="5" xfId="0" applyFill="1" applyBorder="1"/>
    <xf numFmtId="0" fontId="21" fillId="9" borderId="26" xfId="0" applyFont="1" applyFill="1" applyBorder="1" applyAlignment="1">
      <alignment horizontal="center" vertical="center" wrapText="1"/>
    </xf>
    <xf numFmtId="0" fontId="0" fillId="37" borderId="26" xfId="0" applyFill="1" applyBorder="1"/>
    <xf numFmtId="49" fontId="5" fillId="0" borderId="0" xfId="0" applyNumberFormat="1" applyFont="1"/>
    <xf numFmtId="0" fontId="1" fillId="45" borderId="0" xfId="3" applyAlignment="1">
      <alignment vertical="center"/>
    </xf>
    <xf numFmtId="0" fontId="0" fillId="46" borderId="0" xfId="0" applyFill="1" applyAlignment="1">
      <alignment horizontal="right" vertical="center"/>
    </xf>
    <xf numFmtId="49" fontId="13" fillId="2" borderId="0" xfId="0" applyNumberFormat="1" applyFont="1" applyFill="1" applyAlignment="1">
      <alignment horizontal="right" vertical="center"/>
    </xf>
    <xf numFmtId="0" fontId="16" fillId="6" borderId="0" xfId="0" applyFont="1" applyFill="1"/>
    <xf numFmtId="49" fontId="22" fillId="44" borderId="27" xfId="2" applyNumberFormat="1" applyAlignment="1">
      <alignment horizontal="left" vertical="center"/>
    </xf>
    <xf numFmtId="0" fontId="14" fillId="31" borderId="0" xfId="0" applyFont="1" applyFill="1" applyAlignment="1">
      <alignment horizontal="center"/>
    </xf>
    <xf numFmtId="0" fontId="0" fillId="30" borderId="5" xfId="0" applyFill="1" applyBorder="1" applyAlignment="1">
      <alignment horizontal="center"/>
    </xf>
    <xf numFmtId="0" fontId="0" fillId="3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/>
    <xf numFmtId="0" fontId="20" fillId="32" borderId="0" xfId="0" applyFont="1" applyFill="1" applyAlignment="1">
      <alignment horizontal="center" vertical="center" wrapText="1"/>
    </xf>
    <xf numFmtId="0" fontId="21" fillId="43" borderId="4" xfId="0" applyFont="1" applyFill="1" applyBorder="1" applyAlignment="1">
      <alignment horizontal="center" vertical="center" wrapText="1"/>
    </xf>
    <xf numFmtId="0" fontId="16" fillId="0" borderId="25" xfId="0" applyFont="1" applyBorder="1"/>
    <xf numFmtId="0" fontId="13" fillId="35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35" borderId="17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5" borderId="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10" fillId="0" borderId="0" xfId="0" applyFont="1" applyAlignment="1">
      <alignment wrapText="1"/>
    </xf>
  </cellXfs>
  <cellStyles count="4">
    <cellStyle name="40 % - Akzent2" xfId="3" builtinId="35"/>
    <cellStyle name="Eingabe" xfId="2" builtinId="20"/>
    <cellStyle name="Normal 2" xfId="1"/>
    <cellStyle name="Standard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</sheetPr>
  <dimension ref="A1:T958"/>
  <sheetViews>
    <sheetView tabSelected="1" zoomScaleNormal="100" workbookViewId="0">
      <selection activeCell="E19" sqref="E19"/>
    </sheetView>
  </sheetViews>
  <sheetFormatPr baseColWidth="10" defaultColWidth="14.42578125" defaultRowHeight="15" customHeight="1"/>
  <cols>
    <col min="1" max="1" width="64.42578125" customWidth="1"/>
    <col min="2" max="2" width="19.140625" customWidth="1"/>
    <col min="3" max="3" width="41.140625" customWidth="1"/>
    <col min="4" max="4" width="11.42578125" customWidth="1"/>
    <col min="5" max="5" width="233.140625" bestFit="1" customWidth="1"/>
    <col min="6" max="20" width="11.42578125" customWidth="1"/>
  </cols>
  <sheetData>
    <row r="1" spans="1:20" ht="46.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5" t="s">
        <v>4546</v>
      </c>
      <c r="B2" s="6"/>
      <c r="C2" s="7" t="e">
        <f>LOOKUP(StammDaten3,'Listen-Daten'!E2:G250,'Listen-Daten'!G2:G250)</f>
        <v>#N/A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>
      <c r="A3" s="5" t="s">
        <v>3</v>
      </c>
      <c r="B3" s="139"/>
      <c r="C3" s="10">
        <f>RisikoFragen0a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>
      <c r="A4" s="5" t="s">
        <v>4</v>
      </c>
      <c r="B4" s="139"/>
      <c r="C4" s="10">
        <f>RisikoFragen0b</f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>
      <c r="A5" s="5" t="s">
        <v>5</v>
      </c>
      <c r="B5" s="9"/>
      <c r="C5" s="11">
        <f>limit1</f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>
      <c r="A6" s="5" t="s">
        <v>6</v>
      </c>
      <c r="B6" s="9"/>
      <c r="C6" s="11">
        <f>sublimit1</f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>
      <c r="A7" s="5" t="s">
        <v>7</v>
      </c>
      <c r="B7" s="9"/>
      <c r="C7" s="11">
        <f>limit2</f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>
      <c r="A8" s="5" t="s">
        <v>8</v>
      </c>
      <c r="B8" s="9"/>
      <c r="C8" s="11">
        <f>sublimit2</f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>
      <c r="A9" s="5" t="s">
        <v>9</v>
      </c>
      <c r="B9" s="9"/>
      <c r="C9" s="11">
        <f>limit3</f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>
      <c r="A10" s="12" t="s">
        <v>10</v>
      </c>
      <c r="B10" s="9"/>
      <c r="C10" s="11">
        <f>sublimit3</f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>
      <c r="A11" s="12" t="s">
        <v>11</v>
      </c>
      <c r="B11" s="6"/>
      <c r="C11" s="7" t="e">
        <f>VLOOKUP(B11,'Listen-Daten'!K:L,2)</f>
        <v>#N/A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>
      <c r="A12" s="12" t="s">
        <v>12</v>
      </c>
      <c r="B12" s="6"/>
      <c r="C12" s="7" t="str">
        <f>IF(StammDaten2="",'Listen-Daten'!B2,VLOOKUP(StammDaten2,'Listen-Daten'!A:B,2,0))</f>
        <v>andere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>
      <c r="A13" s="12" t="s">
        <v>13</v>
      </c>
      <c r="B13" s="9"/>
      <c r="C13" s="7" t="str">
        <f t="shared" ref="C13:C15" si="0">B13 &amp; " FTE"</f>
        <v xml:space="preserve"> FTE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>
      <c r="A14" s="12" t="s">
        <v>14</v>
      </c>
      <c r="B14" s="9"/>
      <c r="C14" s="7" t="str">
        <f t="shared" si="0"/>
        <v xml:space="preserve"> FTE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>
      <c r="A15" s="12" t="s">
        <v>15</v>
      </c>
      <c r="B15" s="9"/>
      <c r="C15" s="7" t="str">
        <f t="shared" si="0"/>
        <v xml:space="preserve"> FTE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5" customHeight="1">
      <c r="A16" s="12" t="s">
        <v>4781</v>
      </c>
      <c r="B16" s="9"/>
      <c r="C16" s="7">
        <f>DaughterAndCoInsuredCompanies</f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>
      <c r="A17" s="12" t="s">
        <v>16</v>
      </c>
      <c r="B17" s="9"/>
      <c r="C17" s="7" t="e">
        <f>LOOKUP(geltungsbereich,'Listen-Daten'!N2:O3,'Listen-Daten'!O2:O3)</f>
        <v>#N/A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>
      <c r="A18" s="12" t="s">
        <v>17</v>
      </c>
      <c r="B18" s="9"/>
      <c r="C18" s="13">
        <f>B18</f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4.25" customHeight="1">
      <c r="A19" s="14" t="s">
        <v>18</v>
      </c>
      <c r="B19" s="9"/>
      <c r="C19" s="13">
        <f>coopbrokerCourtageHPST</f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4.25" customHeight="1">
      <c r="A20" s="15" t="s">
        <v>19</v>
      </c>
      <c r="B20" s="189"/>
      <c r="C20" s="17">
        <f>vorvertrag</f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4.25" customHeight="1">
      <c r="A21" s="15" t="s">
        <v>4681</v>
      </c>
      <c r="B21" s="189"/>
      <c r="C21" s="188" t="e">
        <f>VLOOKUP(B21,'Listen-Daten'!X:Y,2)</f>
        <v>#N/A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4.25" customHeight="1">
      <c r="A22" s="15" t="s">
        <v>20</v>
      </c>
      <c r="B22" s="16"/>
      <c r="C22" s="17">
        <f>RisikoFrageClaims1c</f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4.25" customHeight="1">
      <c r="A23" s="15" t="s">
        <v>21</v>
      </c>
      <c r="B23" s="16"/>
      <c r="C23" s="17">
        <f>versicherungsscheinnummer</f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4.25" customHeight="1">
      <c r="A24" s="15" t="s">
        <v>22</v>
      </c>
      <c r="B24" s="16"/>
      <c r="C24" s="17">
        <f>deckungssummevorversicherer</f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14.25" customHeight="1">
      <c r="A25" s="15" t="s">
        <v>23</v>
      </c>
      <c r="B25" s="16"/>
      <c r="C25" s="17">
        <f>RisikoFrageClaims1a</f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4.25" customHeight="1">
      <c r="A26" s="15" t="s">
        <v>24</v>
      </c>
      <c r="B26" s="16"/>
      <c r="C26" s="17">
        <f>RisikoFrageClaims1b</f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4.25" customHeight="1">
      <c r="A27" s="15" t="s">
        <v>25</v>
      </c>
      <c r="B27" s="16"/>
      <c r="C27" s="17">
        <f>RisikoFrageQ2a</f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4.25" customHeight="1">
      <c r="A28" s="15" t="s">
        <v>26</v>
      </c>
      <c r="B28" s="16"/>
      <c r="C28" s="17">
        <f>RisikoFrageQ2b</f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4.25" customHeight="1">
      <c r="A29" s="15" t="s">
        <v>27</v>
      </c>
      <c r="B29" s="16"/>
      <c r="C29" s="17">
        <f>RisikoFrageQ3a</f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14.25" customHeight="1">
      <c r="A30" s="15" t="s">
        <v>28</v>
      </c>
      <c r="B30" s="16"/>
      <c r="C30" s="17">
        <f>RisikoFrageQ5a</f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14.25" customHeight="1">
      <c r="A31" s="15" t="s">
        <v>29</v>
      </c>
      <c r="B31" s="16"/>
      <c r="C31" s="17">
        <f>RisikoFrageQ5b</f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4.25" customHeight="1">
      <c r="A32" s="15" t="s">
        <v>30</v>
      </c>
      <c r="B32" s="16"/>
      <c r="C32" s="17">
        <f>RisikoFrageQ6</f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4.25" customHeight="1">
      <c r="A33" s="15" t="s">
        <v>31</v>
      </c>
      <c r="B33" s="16"/>
      <c r="C33" s="17">
        <f>RisikoFrageQ4a</f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4.25" customHeight="1">
      <c r="A34" s="15" t="s">
        <v>32</v>
      </c>
      <c r="B34" s="16"/>
      <c r="C34" s="17">
        <f>RisikoFrageQ4b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4.25" customHeight="1">
      <c r="A35" s="15" t="s">
        <v>33</v>
      </c>
      <c r="B35" s="16"/>
      <c r="C35" s="17">
        <f>RisikoFrageQ4c</f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5" customHeight="1">
      <c r="A36" s="12" t="s">
        <v>4788</v>
      </c>
      <c r="B36" s="9"/>
      <c r="C36" s="7">
        <f>CoInsuredCompaniesExist</f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4.25" customHeight="1">
      <c r="A37" s="18"/>
      <c r="B37" s="19"/>
      <c r="C37" s="20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14.25" customHeight="1">
      <c r="A38" s="18"/>
      <c r="B38" s="19"/>
      <c r="C38" s="20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4.25" customHeight="1">
      <c r="A39" s="18"/>
      <c r="B39" s="19"/>
      <c r="C39" s="2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4.25" customHeight="1">
      <c r="A40" s="18"/>
      <c r="B40" s="19"/>
      <c r="C40" s="20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4.25" customHeight="1">
      <c r="A41" s="18"/>
      <c r="B41" s="19"/>
      <c r="C41" s="20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4.25" customHeight="1">
      <c r="A42" s="18"/>
      <c r="B42" s="19"/>
      <c r="C42" s="20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4.25" customHeight="1">
      <c r="A43" s="18"/>
      <c r="B43" s="19"/>
      <c r="C43" s="2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4.25" customHeight="1">
      <c r="A44" s="18"/>
      <c r="B44" s="19"/>
      <c r="C44" s="20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4.25" customHeight="1">
      <c r="A45" s="18"/>
      <c r="B45" s="19"/>
      <c r="C45" s="2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4.25" customHeight="1">
      <c r="A46" s="18"/>
      <c r="B46" s="19"/>
      <c r="C46" s="2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4.25" customHeight="1">
      <c r="A47" s="18"/>
      <c r="B47" s="19"/>
      <c r="C47" s="20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4.25" customHeight="1">
      <c r="A48" s="18"/>
      <c r="B48" s="19"/>
      <c r="C48" s="20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4.25" customHeight="1">
      <c r="A49" s="18"/>
      <c r="B49" s="19"/>
      <c r="C49" s="20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4.25" customHeight="1">
      <c r="A50" s="18"/>
      <c r="B50" s="19"/>
      <c r="C50" s="20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4.25" customHeight="1">
      <c r="A51" s="18"/>
      <c r="B51" s="19"/>
      <c r="C51" s="20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4.25" customHeight="1">
      <c r="A52" s="18"/>
      <c r="B52" s="19"/>
      <c r="C52" s="20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4.25" customHeight="1">
      <c r="A53" s="18"/>
      <c r="B53" s="19"/>
      <c r="C53" s="20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4.25" customHeight="1">
      <c r="A54" s="18"/>
      <c r="B54" s="19"/>
      <c r="C54" s="20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4.25" customHeight="1">
      <c r="A55" s="18"/>
      <c r="B55" s="19"/>
      <c r="C55" s="2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4.25" customHeight="1">
      <c r="A56" s="18"/>
      <c r="B56" s="19"/>
      <c r="C56" s="2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4.25" customHeight="1">
      <c r="A57" s="18"/>
      <c r="B57" s="19"/>
      <c r="C57" s="2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4.25" customHeight="1">
      <c r="A58" s="18"/>
      <c r="B58" s="19"/>
      <c r="C58" s="20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4.25" customHeight="1">
      <c r="A59" s="18"/>
      <c r="B59" s="19"/>
      <c r="C59" s="20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4.25" customHeight="1">
      <c r="A60" s="18"/>
      <c r="B60" s="19"/>
      <c r="C60" s="20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4.25" customHeight="1">
      <c r="A61" s="18"/>
      <c r="B61" s="19"/>
      <c r="C61" s="20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4.25" customHeight="1">
      <c r="A62" s="18"/>
      <c r="B62" s="19"/>
      <c r="C62" s="2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4.25" customHeight="1">
      <c r="A63" s="18"/>
      <c r="B63" s="19"/>
      <c r="C63" s="2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4.25" customHeight="1">
      <c r="A64" s="18"/>
      <c r="B64" s="19"/>
      <c r="C64" s="20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4.25" customHeight="1">
      <c r="A65" s="18"/>
      <c r="B65" s="19"/>
      <c r="C65" s="2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4.25" customHeight="1">
      <c r="A66" s="18"/>
      <c r="B66" s="19"/>
      <c r="C66" s="20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4.25" customHeight="1">
      <c r="A67" s="18"/>
      <c r="B67" s="19"/>
      <c r="C67" s="20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4.25" customHeight="1">
      <c r="A68" s="18"/>
      <c r="B68" s="19"/>
      <c r="C68" s="20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4.25" customHeight="1">
      <c r="A69" s="18"/>
      <c r="B69" s="19"/>
      <c r="C69" s="20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4.25" customHeight="1">
      <c r="A70" s="18"/>
      <c r="B70" s="19"/>
      <c r="C70" s="20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4.25" customHeight="1">
      <c r="A71" s="18"/>
      <c r="B71" s="19"/>
      <c r="C71" s="2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4.25" customHeight="1">
      <c r="A72" s="18"/>
      <c r="B72" s="19"/>
      <c r="C72" s="20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4.25" customHeight="1">
      <c r="A73" s="18"/>
      <c r="B73" s="19"/>
      <c r="C73" s="20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4.25" customHeight="1">
      <c r="A74" s="18"/>
      <c r="B74" s="19"/>
      <c r="C74" s="2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4.25" customHeight="1">
      <c r="A75" s="18"/>
      <c r="B75" s="19"/>
      <c r="C75" s="20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4.25" customHeight="1">
      <c r="A76" s="18"/>
      <c r="B76" s="19"/>
      <c r="C76" s="20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4.25" customHeight="1">
      <c r="A77" s="18"/>
      <c r="B77" s="19"/>
      <c r="C77" s="2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4.25" customHeight="1">
      <c r="A78" s="18"/>
      <c r="B78" s="19"/>
      <c r="C78" s="20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4.25" customHeight="1">
      <c r="A79" s="18"/>
      <c r="B79" s="19"/>
      <c r="C79" s="20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4.25" customHeight="1">
      <c r="A80" s="18"/>
      <c r="B80" s="19"/>
      <c r="C80" s="20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4.25" customHeight="1">
      <c r="A81" s="18"/>
      <c r="B81" s="19"/>
      <c r="C81" s="20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4.25" customHeight="1">
      <c r="A82" s="18"/>
      <c r="B82" s="19"/>
      <c r="C82" s="20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4.25" customHeight="1">
      <c r="A83" s="18"/>
      <c r="B83" s="19"/>
      <c r="C83" s="20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4.25" customHeight="1">
      <c r="A84" s="18"/>
      <c r="B84" s="19"/>
      <c r="C84" s="20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4.25" customHeight="1">
      <c r="A85" s="18"/>
      <c r="B85" s="19"/>
      <c r="C85" s="20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4.25" customHeight="1">
      <c r="A86" s="18"/>
      <c r="B86" s="19"/>
      <c r="C86" s="2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4.25" customHeight="1">
      <c r="A87" s="18"/>
      <c r="B87" s="19"/>
      <c r="C87" s="20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4.25" customHeight="1">
      <c r="A88" s="18"/>
      <c r="B88" s="19"/>
      <c r="C88" s="20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4.25" customHeight="1">
      <c r="A89" s="18"/>
      <c r="B89" s="19"/>
      <c r="C89" s="20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4.25" customHeight="1">
      <c r="A90" s="18"/>
      <c r="B90" s="19"/>
      <c r="C90" s="2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4.25" customHeight="1">
      <c r="A91" s="18"/>
      <c r="B91" s="19"/>
      <c r="C91" s="20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4.25" customHeight="1">
      <c r="A92" s="18"/>
      <c r="B92" s="19"/>
      <c r="C92" s="20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4.25" customHeight="1">
      <c r="A93" s="18"/>
      <c r="B93" s="19"/>
      <c r="C93" s="20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4.25" customHeight="1">
      <c r="A94" s="18"/>
      <c r="B94" s="19"/>
      <c r="C94" s="20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4.25" customHeight="1">
      <c r="A95" s="18"/>
      <c r="B95" s="19"/>
      <c r="C95" s="20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4.25" customHeight="1">
      <c r="A96" s="18"/>
      <c r="B96" s="19"/>
      <c r="C96" s="20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4.25" customHeight="1">
      <c r="A97" s="18"/>
      <c r="B97" s="19"/>
      <c r="C97" s="20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4.25" customHeight="1">
      <c r="A98" s="18"/>
      <c r="B98" s="19"/>
      <c r="C98" s="20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4.25" customHeight="1">
      <c r="A99" s="18"/>
      <c r="B99" s="19"/>
      <c r="C99" s="20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4.25" customHeight="1">
      <c r="A100" s="18"/>
      <c r="B100" s="19"/>
      <c r="C100" s="20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4.25" customHeight="1">
      <c r="A101" s="18"/>
      <c r="B101" s="19"/>
      <c r="C101" s="20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20" ht="14.25" customHeight="1">
      <c r="A102" s="18"/>
      <c r="B102" s="19"/>
      <c r="C102" s="2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20" ht="14.25" customHeight="1">
      <c r="A103" s="18"/>
      <c r="B103" s="19"/>
      <c r="C103" s="2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20" ht="14.25" customHeight="1">
      <c r="A104" s="18"/>
      <c r="B104" s="19"/>
      <c r="C104" s="2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20" ht="14.25" customHeight="1">
      <c r="A105" s="18"/>
      <c r="B105" s="19"/>
      <c r="C105" s="2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20" ht="14.25" customHeight="1">
      <c r="A106" s="18"/>
      <c r="B106" s="19"/>
      <c r="C106" s="2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20" ht="14.25" customHeight="1">
      <c r="A107" s="18"/>
      <c r="B107" s="19"/>
      <c r="C107" s="2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20" ht="14.25" customHeight="1">
      <c r="A108" s="18"/>
      <c r="B108" s="19"/>
      <c r="C108" s="2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:20" ht="14.25" customHeight="1">
      <c r="A109" s="18"/>
      <c r="B109" s="19"/>
      <c r="C109" s="2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:20" ht="14.25" customHeight="1">
      <c r="A110" s="18"/>
      <c r="B110" s="19"/>
      <c r="C110" s="2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 ht="14.25" customHeight="1">
      <c r="A111" s="18"/>
      <c r="B111" s="19"/>
      <c r="C111" s="2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:20" ht="14.25" customHeight="1">
      <c r="A112" s="18"/>
      <c r="B112" s="19"/>
      <c r="C112" s="2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 ht="14.25" customHeight="1">
      <c r="A113" s="18"/>
      <c r="B113" s="19"/>
      <c r="C113" s="2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:20" ht="14.25" customHeight="1">
      <c r="A114" s="18"/>
      <c r="B114" s="19"/>
      <c r="C114" s="2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 ht="14.25" customHeight="1">
      <c r="A115" s="18"/>
      <c r="B115" s="19"/>
      <c r="C115" s="2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 ht="14.25" customHeight="1">
      <c r="A116" s="18"/>
      <c r="B116" s="19"/>
      <c r="C116" s="2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:20" ht="14.25" customHeight="1">
      <c r="A117" s="18"/>
      <c r="B117" s="19"/>
      <c r="C117" s="2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ht="14.25" customHeight="1">
      <c r="A118" s="18"/>
      <c r="B118" s="19"/>
      <c r="C118" s="2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 ht="14.25" customHeight="1">
      <c r="A119" s="18"/>
      <c r="B119" s="19"/>
      <c r="C119" s="2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 ht="14.25" customHeight="1">
      <c r="A120" s="18"/>
      <c r="B120" s="19"/>
      <c r="C120" s="2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0" ht="14.25" customHeight="1">
      <c r="A121" s="18"/>
      <c r="B121" s="19"/>
      <c r="C121" s="2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:20" ht="14.25" customHeight="1">
      <c r="A122" s="18"/>
      <c r="B122" s="19"/>
      <c r="C122" s="2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0" ht="14.25" customHeight="1">
      <c r="A123" s="18"/>
      <c r="B123" s="19"/>
      <c r="C123" s="2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0" ht="14.25" customHeight="1">
      <c r="A124" s="18"/>
      <c r="B124" s="19"/>
      <c r="C124" s="2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0" ht="14.25" customHeight="1">
      <c r="A125" s="18"/>
      <c r="B125" s="19"/>
      <c r="C125" s="2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0" ht="14.25" customHeight="1">
      <c r="A126" s="18"/>
      <c r="B126" s="19"/>
      <c r="C126" s="2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0" ht="14.25" customHeight="1">
      <c r="A127" s="18"/>
      <c r="B127" s="19"/>
      <c r="C127" s="2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0" ht="14.25" customHeight="1">
      <c r="A128" s="18"/>
      <c r="B128" s="19"/>
      <c r="C128" s="2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ht="14.25" customHeight="1">
      <c r="A129" s="18"/>
      <c r="B129" s="19"/>
      <c r="C129" s="2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ht="14.25" customHeight="1">
      <c r="A130" s="18"/>
      <c r="B130" s="19"/>
      <c r="C130" s="2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ht="14.25" customHeight="1">
      <c r="A131" s="18"/>
      <c r="B131" s="19"/>
      <c r="C131" s="2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ht="14.25" customHeight="1">
      <c r="A132" s="18"/>
      <c r="B132" s="19"/>
      <c r="C132" s="2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ht="14.25" customHeight="1">
      <c r="A133" s="18"/>
      <c r="B133" s="19"/>
      <c r="C133" s="2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ht="14.25" customHeight="1">
      <c r="A134" s="18"/>
      <c r="B134" s="19"/>
      <c r="C134" s="2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ht="14.25" customHeight="1">
      <c r="A135" s="18"/>
      <c r="B135" s="19"/>
      <c r="C135" s="2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ht="14.25" customHeight="1">
      <c r="A136" s="18"/>
      <c r="B136" s="19"/>
      <c r="C136" s="2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ht="14.25" customHeight="1">
      <c r="A137" s="18"/>
      <c r="B137" s="19"/>
      <c r="C137" s="2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ht="14.25" customHeight="1">
      <c r="A138" s="18"/>
      <c r="B138" s="19"/>
      <c r="C138" s="2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ht="14.25" customHeight="1">
      <c r="A139" s="18"/>
      <c r="B139" s="19"/>
      <c r="C139" s="2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ht="14.25" customHeight="1">
      <c r="A140" s="18"/>
      <c r="B140" s="19"/>
      <c r="C140" s="2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ht="14.25" customHeight="1">
      <c r="A141" s="18"/>
      <c r="B141" s="19"/>
      <c r="C141" s="2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ht="14.25" customHeight="1">
      <c r="A142" s="18"/>
      <c r="B142" s="19"/>
      <c r="C142" s="2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ht="14.25" customHeight="1">
      <c r="A143" s="18"/>
      <c r="B143" s="19"/>
      <c r="C143" s="2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ht="14.25" customHeight="1">
      <c r="A144" s="18"/>
      <c r="B144" s="19"/>
      <c r="C144" s="2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ht="14.25" customHeight="1">
      <c r="A145" s="18"/>
      <c r="B145" s="19"/>
      <c r="C145" s="2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ht="14.25" customHeight="1">
      <c r="A146" s="18"/>
      <c r="B146" s="19"/>
      <c r="C146" s="2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:20" ht="14.25" customHeight="1">
      <c r="A147" s="18"/>
      <c r="B147" s="19"/>
      <c r="C147" s="2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:20" ht="14.25" customHeight="1">
      <c r="A148" s="18"/>
      <c r="B148" s="19"/>
      <c r="C148" s="2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:20" ht="14.25" customHeight="1">
      <c r="A149" s="18"/>
      <c r="B149" s="19"/>
      <c r="C149" s="2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:20" ht="14.25" customHeight="1">
      <c r="A150" s="18"/>
      <c r="B150" s="19"/>
      <c r="C150" s="2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:20" ht="14.25" customHeight="1">
      <c r="A151" s="18"/>
      <c r="B151" s="19"/>
      <c r="C151" s="2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:20" ht="14.25" customHeight="1">
      <c r="A152" s="18"/>
      <c r="B152" s="19"/>
      <c r="C152" s="2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:20" ht="14.25" customHeight="1">
      <c r="A153" s="18"/>
      <c r="B153" s="19"/>
      <c r="C153" s="2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:20" ht="14.25" customHeight="1">
      <c r="A154" s="18"/>
      <c r="B154" s="19"/>
      <c r="C154" s="2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:20" ht="14.25" customHeight="1">
      <c r="A155" s="18"/>
      <c r="B155" s="19"/>
      <c r="C155" s="2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 ht="14.25" customHeight="1">
      <c r="A156" s="18"/>
      <c r="B156" s="19"/>
      <c r="C156" s="2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:20" ht="14.25" customHeight="1">
      <c r="A157" s="18"/>
      <c r="B157" s="19"/>
      <c r="C157" s="2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:20" ht="14.25" customHeight="1">
      <c r="A158" s="18"/>
      <c r="B158" s="19"/>
      <c r="C158" s="2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:20" ht="14.25" customHeight="1">
      <c r="A159" s="18"/>
      <c r="B159" s="19"/>
      <c r="C159" s="2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:20" ht="14.25" customHeight="1">
      <c r="A160" s="18"/>
      <c r="B160" s="19"/>
      <c r="C160" s="2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:20" ht="14.25" customHeight="1">
      <c r="A161" s="18"/>
      <c r="B161" s="19"/>
      <c r="C161" s="2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:20" ht="14.25" customHeight="1">
      <c r="A162" s="18"/>
      <c r="B162" s="19"/>
      <c r="C162" s="2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:20" ht="14.25" customHeight="1">
      <c r="A163" s="18"/>
      <c r="B163" s="19"/>
      <c r="C163" s="2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:20" ht="14.25" customHeight="1">
      <c r="A164" s="18"/>
      <c r="B164" s="19"/>
      <c r="C164" s="2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:20" ht="14.25" customHeight="1">
      <c r="A165" s="18"/>
      <c r="B165" s="19"/>
      <c r="C165" s="2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:20" ht="14.25" customHeight="1">
      <c r="A166" s="18"/>
      <c r="B166" s="19"/>
      <c r="C166" s="2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:20" ht="14.25" customHeight="1">
      <c r="A167" s="18"/>
      <c r="B167" s="19"/>
      <c r="C167" s="2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:20" ht="14.25" customHeight="1">
      <c r="A168" s="18"/>
      <c r="B168" s="19"/>
      <c r="C168" s="2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:20" ht="14.25" customHeight="1">
      <c r="A169" s="18"/>
      <c r="B169" s="19"/>
      <c r="C169" s="2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:20" ht="14.25" customHeight="1">
      <c r="A170" s="18"/>
      <c r="B170" s="19"/>
      <c r="C170" s="2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:20" ht="14.25" customHeight="1">
      <c r="A171" s="18"/>
      <c r="B171" s="19"/>
      <c r="C171" s="2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:20" ht="14.25" customHeight="1">
      <c r="A172" s="18"/>
      <c r="B172" s="19"/>
      <c r="C172" s="2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:20" ht="14.25" customHeight="1">
      <c r="A173" s="18"/>
      <c r="B173" s="19"/>
      <c r="C173" s="2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:20" ht="14.25" customHeight="1">
      <c r="A174" s="18"/>
      <c r="B174" s="19"/>
      <c r="C174" s="2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0" ht="14.25" customHeight="1">
      <c r="A175" s="18"/>
      <c r="B175" s="19"/>
      <c r="C175" s="2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:20" ht="14.25" customHeight="1">
      <c r="A176" s="18"/>
      <c r="B176" s="19"/>
      <c r="C176" s="2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:20" ht="14.25" customHeight="1">
      <c r="A177" s="18"/>
      <c r="B177" s="19"/>
      <c r="C177" s="2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:20" ht="14.25" customHeight="1">
      <c r="A178" s="18"/>
      <c r="B178" s="19"/>
      <c r="C178" s="2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:20" ht="14.25" customHeight="1">
      <c r="A179" s="18"/>
      <c r="B179" s="19"/>
      <c r="C179" s="2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:20" ht="14.25" customHeight="1">
      <c r="A180" s="18"/>
      <c r="B180" s="19"/>
      <c r="C180" s="2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:20" ht="14.25" customHeight="1">
      <c r="A181" s="18"/>
      <c r="B181" s="19"/>
      <c r="C181" s="2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:20" ht="14.25" customHeight="1">
      <c r="A182" s="18"/>
      <c r="B182" s="19"/>
      <c r="C182" s="2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:20" ht="14.25" customHeight="1">
      <c r="A183" s="18"/>
      <c r="B183" s="19"/>
      <c r="C183" s="2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:20" ht="14.25" customHeight="1">
      <c r="A184" s="18"/>
      <c r="B184" s="19"/>
      <c r="C184" s="2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:20" ht="14.25" customHeight="1">
      <c r="A185" s="18"/>
      <c r="B185" s="19"/>
      <c r="C185" s="2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:20" ht="14.25" customHeight="1">
      <c r="A186" s="18"/>
      <c r="B186" s="19"/>
      <c r="C186" s="2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:20" ht="14.25" customHeight="1">
      <c r="A187" s="18"/>
      <c r="B187" s="19"/>
      <c r="C187" s="2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:20" ht="14.25" customHeight="1">
      <c r="A188" s="18"/>
      <c r="B188" s="19"/>
      <c r="C188" s="2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:20" ht="14.25" customHeight="1">
      <c r="A189" s="18"/>
      <c r="B189" s="19"/>
      <c r="C189" s="2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:20" ht="14.25" customHeight="1">
      <c r="A190" s="18"/>
      <c r="B190" s="19"/>
      <c r="C190" s="2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:20" ht="14.25" customHeight="1">
      <c r="A191" s="18"/>
      <c r="B191" s="19"/>
      <c r="C191" s="2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:20" ht="14.25" customHeight="1">
      <c r="A192" s="18"/>
      <c r="B192" s="19"/>
      <c r="C192" s="2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0" ht="14.25" customHeight="1">
      <c r="A193" s="18"/>
      <c r="B193" s="19"/>
      <c r="C193" s="2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 ht="14.25" customHeight="1">
      <c r="A194" s="18"/>
      <c r="B194" s="19"/>
      <c r="C194" s="2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0" ht="14.25" customHeight="1">
      <c r="A195" s="18"/>
      <c r="B195" s="19"/>
      <c r="C195" s="2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:20" ht="14.25" customHeight="1">
      <c r="A196" s="18"/>
      <c r="B196" s="19"/>
      <c r="C196" s="2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:20" ht="14.25" customHeight="1">
      <c r="A197" s="18"/>
      <c r="B197" s="19"/>
      <c r="C197" s="2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:20" ht="14.25" customHeight="1">
      <c r="A198" s="18"/>
      <c r="B198" s="19"/>
      <c r="C198" s="2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:20" ht="14.25" customHeight="1">
      <c r="A199" s="18"/>
      <c r="B199" s="19"/>
      <c r="C199" s="2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:20" ht="14.25" customHeight="1">
      <c r="A200" s="18"/>
      <c r="B200" s="19"/>
      <c r="C200" s="2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:20" ht="14.25" customHeight="1">
      <c r="A201" s="18"/>
      <c r="B201" s="19"/>
      <c r="C201" s="2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:20" ht="14.25" customHeight="1">
      <c r="A202" s="18"/>
      <c r="B202" s="19"/>
      <c r="C202" s="2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:20" ht="14.25" customHeight="1">
      <c r="A203" s="18"/>
      <c r="B203" s="19"/>
      <c r="C203" s="2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:20" ht="14.25" customHeight="1">
      <c r="A204" s="18"/>
      <c r="B204" s="19"/>
      <c r="C204" s="2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:20" ht="14.25" customHeight="1">
      <c r="A205" s="18"/>
      <c r="B205" s="19"/>
      <c r="C205" s="2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 ht="14.25" customHeight="1">
      <c r="A206" s="18"/>
      <c r="B206" s="19"/>
      <c r="C206" s="2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:20" ht="14.25" customHeight="1">
      <c r="A207" s="18"/>
      <c r="B207" s="19"/>
      <c r="C207" s="2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 ht="14.25" customHeight="1">
      <c r="A208" s="18"/>
      <c r="B208" s="19"/>
      <c r="C208" s="2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:20" ht="14.25" customHeight="1">
      <c r="A209" s="18"/>
      <c r="B209" s="19"/>
      <c r="C209" s="2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:20" ht="14.25" customHeight="1">
      <c r="A210" s="18"/>
      <c r="B210" s="19"/>
      <c r="C210" s="2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:20" ht="14.25" customHeight="1">
      <c r="A211" s="18"/>
      <c r="B211" s="19"/>
      <c r="C211" s="2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:20" ht="14.25" customHeight="1">
      <c r="A212" s="18"/>
      <c r="B212" s="19"/>
      <c r="C212" s="2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:20" ht="14.25" customHeight="1">
      <c r="A213" s="18"/>
      <c r="B213" s="19"/>
      <c r="C213" s="2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:20" ht="14.25" customHeight="1">
      <c r="A214" s="18"/>
      <c r="B214" s="19"/>
      <c r="C214" s="2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:20" ht="14.25" customHeight="1">
      <c r="A215" s="18"/>
      <c r="B215" s="19"/>
      <c r="C215" s="2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:20" ht="14.25" customHeight="1">
      <c r="A216" s="18"/>
      <c r="B216" s="19"/>
      <c r="C216" s="2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:20" ht="14.25" customHeight="1">
      <c r="A217" s="18"/>
      <c r="B217" s="19"/>
      <c r="C217" s="2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:20" ht="14.25" customHeight="1">
      <c r="A218" s="18"/>
      <c r="B218" s="19"/>
      <c r="C218" s="2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:20" ht="14.25" customHeight="1">
      <c r="A219" s="18"/>
      <c r="B219" s="19"/>
      <c r="C219" s="2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:20" ht="14.25" customHeight="1">
      <c r="A220" s="18"/>
      <c r="B220" s="19"/>
      <c r="C220" s="2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:20" ht="14.25" customHeight="1">
      <c r="A221" s="18"/>
      <c r="B221" s="19"/>
      <c r="C221" s="2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:20" ht="14.25" customHeight="1">
      <c r="A222" s="18"/>
      <c r="B222" s="19"/>
      <c r="C222" s="2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:20" ht="14.25" customHeight="1">
      <c r="A223" s="18"/>
      <c r="B223" s="19"/>
      <c r="C223" s="2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:20" ht="14.25" customHeight="1">
      <c r="A224" s="18"/>
      <c r="B224" s="19"/>
      <c r="C224" s="2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:20" ht="14.25" customHeight="1">
      <c r="A225" s="18"/>
      <c r="B225" s="19"/>
      <c r="C225" s="2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:20" ht="14.25" customHeight="1">
      <c r="A226" s="18"/>
      <c r="B226" s="19"/>
      <c r="C226" s="2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:20" ht="14.25" customHeight="1">
      <c r="A227" s="18"/>
      <c r="B227" s="19"/>
      <c r="C227" s="2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:20" ht="14.25" customHeight="1">
      <c r="A228" s="18"/>
      <c r="B228" s="19"/>
      <c r="C228" s="2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:20" ht="14.25" customHeight="1">
      <c r="A229" s="18"/>
      <c r="B229" s="19"/>
      <c r="C229" s="2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:20" ht="14.25" customHeight="1">
      <c r="A230" s="18"/>
      <c r="B230" s="19"/>
      <c r="C230" s="2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:20" ht="14.25" customHeight="1">
      <c r="A231" s="18"/>
      <c r="B231" s="19"/>
      <c r="C231" s="2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:20" ht="14.25" customHeight="1">
      <c r="A232" s="18"/>
      <c r="B232" s="19"/>
      <c r="C232" s="2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:20" ht="14.25" customHeight="1">
      <c r="A233" s="18"/>
      <c r="B233" s="19"/>
      <c r="C233" s="2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:20" ht="14.25" customHeight="1">
      <c r="A234" s="18"/>
      <c r="B234" s="19"/>
      <c r="C234" s="2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:20" ht="14.25" customHeight="1">
      <c r="A235" s="18"/>
      <c r="B235" s="19"/>
      <c r="C235" s="2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spans="1:20" ht="14.25" customHeight="1">
      <c r="A236" s="18"/>
      <c r="B236" s="19"/>
      <c r="C236" s="2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spans="1:20" ht="14.25" customHeight="1">
      <c r="A237" s="18"/>
      <c r="B237" s="19"/>
      <c r="C237" s="2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spans="1:20" ht="14.25" customHeight="1">
      <c r="A238" s="18"/>
      <c r="B238" s="19"/>
      <c r="C238" s="2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spans="1:20" ht="14.25" customHeight="1">
      <c r="A239" s="18"/>
      <c r="B239" s="19"/>
      <c r="C239" s="2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spans="1:20" ht="14.25" customHeight="1">
      <c r="A240" s="18"/>
      <c r="B240" s="19"/>
      <c r="C240" s="2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spans="1:20" ht="14.25" customHeight="1">
      <c r="A241" s="18"/>
      <c r="B241" s="19"/>
      <c r="C241" s="2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spans="1:20" ht="14.25" customHeight="1">
      <c r="A242" s="18"/>
      <c r="B242" s="19"/>
      <c r="C242" s="2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spans="1:20" ht="14.25" customHeight="1">
      <c r="A243" s="18"/>
      <c r="B243" s="19"/>
      <c r="C243" s="2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spans="1:20" ht="14.25" customHeight="1">
      <c r="A244" s="18"/>
      <c r="B244" s="19"/>
      <c r="C244" s="2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spans="1:20" ht="14.25" customHeight="1">
      <c r="A245" s="18"/>
      <c r="B245" s="19"/>
      <c r="C245" s="2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1:20" ht="14.25" customHeight="1">
      <c r="A246" s="18"/>
      <c r="B246" s="19"/>
      <c r="C246" s="2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spans="1:20" ht="14.25" customHeight="1">
      <c r="A247" s="18"/>
      <c r="B247" s="19"/>
      <c r="C247" s="2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spans="1:20" ht="14.25" customHeight="1">
      <c r="A248" s="18"/>
      <c r="B248" s="19"/>
      <c r="C248" s="2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spans="1:20" ht="14.25" customHeight="1">
      <c r="A249" s="18"/>
      <c r="B249" s="19"/>
      <c r="C249" s="2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spans="1:20" ht="14.25" customHeight="1">
      <c r="A250" s="18"/>
      <c r="B250" s="19"/>
      <c r="C250" s="2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spans="1:20" ht="14.25" customHeight="1">
      <c r="A251" s="18"/>
      <c r="B251" s="19"/>
      <c r="C251" s="2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spans="1:20" ht="14.25" customHeight="1">
      <c r="A252" s="18"/>
      <c r="B252" s="19"/>
      <c r="C252" s="2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spans="1:20" ht="14.25" customHeight="1">
      <c r="A253" s="18"/>
      <c r="B253" s="19"/>
      <c r="C253" s="2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spans="1:20" ht="14.25" customHeight="1">
      <c r="A254" s="18"/>
      <c r="B254" s="19"/>
      <c r="C254" s="2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spans="1:20" ht="14.25" customHeight="1">
      <c r="A255" s="18"/>
      <c r="B255" s="19"/>
      <c r="C255" s="2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spans="1:20" ht="14.25" customHeight="1">
      <c r="A256" s="18"/>
      <c r="B256" s="19"/>
      <c r="C256" s="2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spans="1:20" ht="14.25" customHeight="1">
      <c r="A257" s="18"/>
      <c r="B257" s="19"/>
      <c r="C257" s="2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spans="1:20" ht="14.25" customHeight="1">
      <c r="A258" s="18"/>
      <c r="B258" s="19"/>
      <c r="C258" s="2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spans="1:20" ht="14.25" customHeight="1">
      <c r="A259" s="18"/>
      <c r="B259" s="19"/>
      <c r="C259" s="2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1:20" ht="14.25" customHeight="1">
      <c r="A260" s="18"/>
      <c r="B260" s="19"/>
      <c r="C260" s="2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spans="1:20" ht="14.25" customHeight="1">
      <c r="A261" s="18"/>
      <c r="B261" s="19"/>
      <c r="C261" s="2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spans="1:20" ht="14.25" customHeight="1">
      <c r="A262" s="18"/>
      <c r="B262" s="19"/>
      <c r="C262" s="2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spans="1:20" ht="14.25" customHeight="1">
      <c r="A263" s="18"/>
      <c r="B263" s="19"/>
      <c r="C263" s="2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spans="1:20" ht="14.25" customHeight="1">
      <c r="A264" s="18"/>
      <c r="B264" s="19"/>
      <c r="C264" s="2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spans="1:20" ht="14.25" customHeight="1">
      <c r="A265" s="18"/>
      <c r="B265" s="19"/>
      <c r="C265" s="2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spans="1:20" ht="14.25" customHeight="1">
      <c r="A266" s="18"/>
      <c r="B266" s="19"/>
      <c r="C266" s="2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spans="1:20" ht="14.25" customHeight="1">
      <c r="A267" s="18"/>
      <c r="B267" s="19"/>
      <c r="C267" s="2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spans="1:20" ht="14.25" customHeight="1">
      <c r="A268" s="18"/>
      <c r="B268" s="19"/>
      <c r="C268" s="2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spans="1:20" ht="14.25" customHeight="1">
      <c r="A269" s="18"/>
      <c r="B269" s="19"/>
      <c r="C269" s="2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1:20" ht="14.25" customHeight="1">
      <c r="A270" s="18"/>
      <c r="B270" s="19"/>
      <c r="C270" s="2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1:20" ht="14.25" customHeight="1">
      <c r="A271" s="18"/>
      <c r="B271" s="19"/>
      <c r="C271" s="2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1:20" ht="14.25" customHeight="1">
      <c r="A272" s="18"/>
      <c r="B272" s="19"/>
      <c r="C272" s="2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1:20" ht="14.25" customHeight="1">
      <c r="A273" s="18"/>
      <c r="B273" s="19"/>
      <c r="C273" s="2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spans="1:20" ht="14.25" customHeight="1">
      <c r="A274" s="18"/>
      <c r="B274" s="19"/>
      <c r="C274" s="2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spans="1:20" ht="14.25" customHeight="1">
      <c r="A275" s="18"/>
      <c r="B275" s="19"/>
      <c r="C275" s="2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spans="1:20" ht="14.25" customHeight="1">
      <c r="A276" s="18"/>
      <c r="B276" s="19"/>
      <c r="C276" s="2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spans="1:20" ht="14.25" customHeight="1">
      <c r="A277" s="18"/>
      <c r="B277" s="19"/>
      <c r="C277" s="2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spans="1:20" ht="14.25" customHeight="1">
      <c r="A278" s="18"/>
      <c r="B278" s="19"/>
      <c r="C278" s="2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spans="1:20" ht="14.25" customHeight="1">
      <c r="A279" s="18"/>
      <c r="B279" s="19"/>
      <c r="C279" s="2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spans="1:20" ht="14.25" customHeight="1">
      <c r="A280" s="18"/>
      <c r="B280" s="19"/>
      <c r="C280" s="2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spans="1:20" ht="14.25" customHeight="1">
      <c r="A281" s="18"/>
      <c r="B281" s="19"/>
      <c r="C281" s="2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spans="1:20" ht="14.25" customHeight="1">
      <c r="A282" s="18"/>
      <c r="B282" s="19"/>
      <c r="C282" s="2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spans="1:20" ht="14.25" customHeight="1">
      <c r="A283" s="18"/>
      <c r="B283" s="19"/>
      <c r="C283" s="2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spans="1:20" ht="14.25" customHeight="1">
      <c r="A284" s="18"/>
      <c r="B284" s="19"/>
      <c r="C284" s="2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spans="1:20" ht="14.25" customHeight="1">
      <c r="A285" s="18"/>
      <c r="B285" s="19"/>
      <c r="C285" s="2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spans="1:20" ht="14.25" customHeight="1">
      <c r="A286" s="18"/>
      <c r="B286" s="19"/>
      <c r="C286" s="2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spans="1:20" ht="14.25" customHeight="1">
      <c r="A287" s="18"/>
      <c r="B287" s="19"/>
      <c r="C287" s="2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spans="1:20" ht="14.25" customHeight="1">
      <c r="A288" s="18"/>
      <c r="B288" s="19"/>
      <c r="C288" s="2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spans="1:20" ht="14.25" customHeight="1">
      <c r="A289" s="18"/>
      <c r="B289" s="19"/>
      <c r="C289" s="2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spans="1:20" ht="14.25" customHeight="1">
      <c r="A290" s="18"/>
      <c r="B290" s="19"/>
      <c r="C290" s="2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spans="1:20" ht="14.25" customHeight="1">
      <c r="A291" s="18"/>
      <c r="B291" s="19"/>
      <c r="C291" s="2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spans="1:20" ht="14.25" customHeight="1">
      <c r="A292" s="18"/>
      <c r="B292" s="19"/>
      <c r="C292" s="2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spans="1:20" ht="14.25" customHeight="1">
      <c r="A293" s="18"/>
      <c r="B293" s="19"/>
      <c r="C293" s="2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spans="1:20" ht="14.25" customHeight="1">
      <c r="A294" s="18"/>
      <c r="B294" s="19"/>
      <c r="C294" s="2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spans="1:20" ht="14.25" customHeight="1">
      <c r="A295" s="18"/>
      <c r="B295" s="19"/>
      <c r="C295" s="2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spans="1:20" ht="14.25" customHeight="1">
      <c r="A296" s="18"/>
      <c r="B296" s="19"/>
      <c r="C296" s="2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spans="1:20" ht="14.25" customHeight="1">
      <c r="A297" s="18"/>
      <c r="B297" s="19"/>
      <c r="C297" s="2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spans="1:20" ht="14.25" customHeight="1">
      <c r="A298" s="18"/>
      <c r="B298" s="19"/>
      <c r="C298" s="2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spans="1:20" ht="14.25" customHeight="1">
      <c r="A299" s="18"/>
      <c r="B299" s="19"/>
      <c r="C299" s="2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spans="1:20" ht="14.25" customHeight="1">
      <c r="A300" s="18"/>
      <c r="B300" s="19"/>
      <c r="C300" s="2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spans="1:20" ht="14.25" customHeight="1">
      <c r="A301" s="18"/>
      <c r="B301" s="19"/>
      <c r="C301" s="2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spans="1:20" ht="14.25" customHeight="1">
      <c r="A302" s="18"/>
      <c r="B302" s="19"/>
      <c r="C302" s="2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spans="1:20" ht="14.25" customHeight="1">
      <c r="A303" s="18"/>
      <c r="B303" s="19"/>
      <c r="C303" s="2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spans="1:20" ht="14.25" customHeight="1">
      <c r="A304" s="18"/>
      <c r="B304" s="19"/>
      <c r="C304" s="2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spans="1:20" ht="14.25" customHeight="1">
      <c r="A305" s="18"/>
      <c r="B305" s="19"/>
      <c r="C305" s="2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spans="1:20" ht="14.25" customHeight="1">
      <c r="A306" s="18"/>
      <c r="B306" s="19"/>
      <c r="C306" s="2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spans="1:20" ht="14.25" customHeight="1">
      <c r="A307" s="18"/>
      <c r="B307" s="19"/>
      <c r="C307" s="2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1:20" ht="14.25" customHeight="1">
      <c r="A308" s="18"/>
      <c r="B308" s="19"/>
      <c r="C308" s="2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1:20" ht="14.25" customHeight="1">
      <c r="A309" s="18"/>
      <c r="B309" s="19"/>
      <c r="C309" s="2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spans="1:20" ht="14.25" customHeight="1">
      <c r="A310" s="18"/>
      <c r="B310" s="19"/>
      <c r="C310" s="2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spans="1:20" ht="14.25" customHeight="1">
      <c r="A311" s="18"/>
      <c r="B311" s="19"/>
      <c r="C311" s="2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spans="1:20" ht="14.25" customHeight="1">
      <c r="A312" s="18"/>
      <c r="B312" s="19"/>
      <c r="C312" s="2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spans="1:20" ht="14.25" customHeight="1">
      <c r="A313" s="18"/>
      <c r="B313" s="19"/>
      <c r="C313" s="2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spans="1:20" ht="14.25" customHeight="1">
      <c r="A314" s="18"/>
      <c r="B314" s="19"/>
      <c r="C314" s="2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spans="1:20" ht="14.25" customHeight="1">
      <c r="A315" s="18"/>
      <c r="B315" s="19"/>
      <c r="C315" s="2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spans="1:20" ht="14.25" customHeight="1">
      <c r="A316" s="18"/>
      <c r="B316" s="19"/>
      <c r="C316" s="2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spans="1:20" ht="14.25" customHeight="1">
      <c r="A317" s="18"/>
      <c r="B317" s="19"/>
      <c r="C317" s="2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spans="1:20" ht="14.25" customHeight="1">
      <c r="A318" s="18"/>
      <c r="B318" s="19"/>
      <c r="C318" s="2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spans="1:20" ht="14.25" customHeight="1">
      <c r="A319" s="18"/>
      <c r="B319" s="19"/>
      <c r="C319" s="2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spans="1:20" ht="14.25" customHeight="1">
      <c r="A320" s="18"/>
      <c r="B320" s="19"/>
      <c r="C320" s="2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spans="1:20" ht="14.25" customHeight="1">
      <c r="A321" s="18"/>
      <c r="B321" s="19"/>
      <c r="C321" s="2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spans="1:20" ht="14.25" customHeight="1">
      <c r="A322" s="18"/>
      <c r="B322" s="19"/>
      <c r="C322" s="2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spans="1:20" ht="14.25" customHeight="1">
      <c r="A323" s="18"/>
      <c r="B323" s="19"/>
      <c r="C323" s="2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spans="1:20" ht="14.25" customHeight="1">
      <c r="A324" s="18"/>
      <c r="B324" s="19"/>
      <c r="C324" s="2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spans="1:20" ht="14.25" customHeight="1">
      <c r="A325" s="18"/>
      <c r="B325" s="19"/>
      <c r="C325" s="2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spans="1:20" ht="14.25" customHeight="1">
      <c r="A326" s="18"/>
      <c r="B326" s="19"/>
      <c r="C326" s="2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spans="1:20" ht="14.25" customHeight="1">
      <c r="A327" s="18"/>
      <c r="B327" s="19"/>
      <c r="C327" s="2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spans="1:20" ht="14.25" customHeight="1">
      <c r="A328" s="18"/>
      <c r="B328" s="19"/>
      <c r="C328" s="2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spans="1:20" ht="14.25" customHeight="1">
      <c r="A329" s="18"/>
      <c r="B329" s="19"/>
      <c r="C329" s="2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spans="1:20" ht="14.25" customHeight="1">
      <c r="A330" s="18"/>
      <c r="B330" s="19"/>
      <c r="C330" s="2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spans="1:20" ht="14.25" customHeight="1">
      <c r="A331" s="18"/>
      <c r="B331" s="19"/>
      <c r="C331" s="2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spans="1:20" ht="14.25" customHeight="1">
      <c r="A332" s="18"/>
      <c r="B332" s="19"/>
      <c r="C332" s="2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spans="1:20" ht="14.25" customHeight="1">
      <c r="A333" s="18"/>
      <c r="B333" s="19"/>
      <c r="C333" s="2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spans="1:20" ht="14.25" customHeight="1">
      <c r="A334" s="18"/>
      <c r="B334" s="19"/>
      <c r="C334" s="2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spans="1:20" ht="14.25" customHeight="1">
      <c r="A335" s="18"/>
      <c r="B335" s="19"/>
      <c r="C335" s="2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spans="1:20" ht="14.25" customHeight="1">
      <c r="A336" s="18"/>
      <c r="B336" s="19"/>
      <c r="C336" s="2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spans="1:20" ht="14.25" customHeight="1">
      <c r="A337" s="18"/>
      <c r="B337" s="19"/>
      <c r="C337" s="2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spans="1:20" ht="14.25" customHeight="1">
      <c r="A338" s="18"/>
      <c r="B338" s="19"/>
      <c r="C338" s="2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spans="1:20" ht="14.25" customHeight="1">
      <c r="A339" s="18"/>
      <c r="B339" s="19"/>
      <c r="C339" s="2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spans="1:20" ht="14.25" customHeight="1">
      <c r="A340" s="18"/>
      <c r="B340" s="19"/>
      <c r="C340" s="2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spans="1:20" ht="14.25" customHeight="1">
      <c r="A341" s="18"/>
      <c r="B341" s="19"/>
      <c r="C341" s="2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spans="1:20" ht="14.25" customHeight="1">
      <c r="A342" s="18"/>
      <c r="B342" s="19"/>
      <c r="C342" s="2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spans="1:20" ht="14.25" customHeight="1">
      <c r="A343" s="18"/>
      <c r="B343" s="19"/>
      <c r="C343" s="2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spans="1:20" ht="14.25" customHeight="1">
      <c r="A344" s="18"/>
      <c r="B344" s="19"/>
      <c r="C344" s="2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spans="1:20" ht="14.25" customHeight="1">
      <c r="A345" s="18"/>
      <c r="B345" s="19"/>
      <c r="C345" s="2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spans="1:20" ht="14.25" customHeight="1">
      <c r="A346" s="18"/>
      <c r="B346" s="19"/>
      <c r="C346" s="2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spans="1:20" ht="14.25" customHeight="1">
      <c r="A347" s="18"/>
      <c r="B347" s="19"/>
      <c r="C347" s="2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spans="1:20" ht="14.25" customHeight="1">
      <c r="A348" s="18"/>
      <c r="B348" s="19"/>
      <c r="C348" s="2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spans="1:20" ht="14.25" customHeight="1">
      <c r="A349" s="18"/>
      <c r="B349" s="19"/>
      <c r="C349" s="2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spans="1:20" ht="14.25" customHeight="1">
      <c r="A350" s="18"/>
      <c r="B350" s="19"/>
      <c r="C350" s="2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spans="1:20" ht="14.25" customHeight="1">
      <c r="A351" s="18"/>
      <c r="B351" s="19"/>
      <c r="C351" s="2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spans="1:20" ht="14.25" customHeight="1">
      <c r="A352" s="18"/>
      <c r="B352" s="19"/>
      <c r="C352" s="2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spans="1:20" ht="14.25" customHeight="1">
      <c r="A353" s="18"/>
      <c r="B353" s="19"/>
      <c r="C353" s="2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spans="1:20" ht="14.25" customHeight="1">
      <c r="A354" s="18"/>
      <c r="B354" s="19"/>
      <c r="C354" s="2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spans="1:20" ht="14.25" customHeight="1">
      <c r="A355" s="18"/>
      <c r="B355" s="19"/>
      <c r="C355" s="2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spans="1:20" ht="14.25" customHeight="1">
      <c r="A356" s="18"/>
      <c r="B356" s="19"/>
      <c r="C356" s="2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spans="1:20" ht="14.25" customHeight="1">
      <c r="A357" s="18"/>
      <c r="B357" s="19"/>
      <c r="C357" s="2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spans="1:20" ht="14.25" customHeight="1">
      <c r="A358" s="18"/>
      <c r="B358" s="19"/>
      <c r="C358" s="2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spans="1:20" ht="14.25" customHeight="1">
      <c r="A359" s="18"/>
      <c r="B359" s="19"/>
      <c r="C359" s="2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spans="1:20" ht="14.25" customHeight="1">
      <c r="A360" s="18"/>
      <c r="B360" s="19"/>
      <c r="C360" s="2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spans="1:20" ht="14.25" customHeight="1">
      <c r="A361" s="18"/>
      <c r="B361" s="19"/>
      <c r="C361" s="2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spans="1:20" ht="14.25" customHeight="1">
      <c r="A362" s="18"/>
      <c r="B362" s="19"/>
      <c r="C362" s="2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spans="1:20" ht="14.25" customHeight="1">
      <c r="A363" s="18"/>
      <c r="B363" s="19"/>
      <c r="C363" s="2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spans="1:20" ht="14.25" customHeight="1">
      <c r="A364" s="18"/>
      <c r="B364" s="19"/>
      <c r="C364" s="2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spans="1:20" ht="14.25" customHeight="1">
      <c r="A365" s="18"/>
      <c r="B365" s="19"/>
      <c r="C365" s="2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spans="1:20" ht="14.25" customHeight="1">
      <c r="A366" s="18"/>
      <c r="B366" s="19"/>
      <c r="C366" s="2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spans="1:20" ht="14.25" customHeight="1">
      <c r="A367" s="18"/>
      <c r="B367" s="19"/>
      <c r="C367" s="2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spans="1:20" ht="14.25" customHeight="1">
      <c r="A368" s="18"/>
      <c r="B368" s="19"/>
      <c r="C368" s="2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spans="1:20" ht="14.25" customHeight="1">
      <c r="A369" s="18"/>
      <c r="B369" s="19"/>
      <c r="C369" s="2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spans="1:20" ht="14.25" customHeight="1">
      <c r="A370" s="18"/>
      <c r="B370" s="19"/>
      <c r="C370" s="2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spans="1:20" ht="14.25" customHeight="1">
      <c r="A371" s="18"/>
      <c r="B371" s="19"/>
      <c r="C371" s="2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spans="1:20" ht="14.25" customHeight="1">
      <c r="A372" s="18"/>
      <c r="B372" s="19"/>
      <c r="C372" s="2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spans="1:20" ht="14.25" customHeight="1">
      <c r="A373" s="18"/>
      <c r="B373" s="19"/>
      <c r="C373" s="2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spans="1:20" ht="14.25" customHeight="1">
      <c r="A374" s="18"/>
      <c r="B374" s="19"/>
      <c r="C374" s="2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spans="1:20" ht="14.25" customHeight="1">
      <c r="A375" s="18"/>
      <c r="B375" s="19"/>
      <c r="C375" s="2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spans="1:20" ht="14.25" customHeight="1">
      <c r="A376" s="18"/>
      <c r="B376" s="19"/>
      <c r="C376" s="2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spans="1:20" ht="14.25" customHeight="1">
      <c r="A377" s="18"/>
      <c r="B377" s="19"/>
      <c r="C377" s="2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spans="1:20" ht="14.25" customHeight="1">
      <c r="A378" s="18"/>
      <c r="B378" s="19"/>
      <c r="C378" s="2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spans="1:20" ht="14.25" customHeight="1">
      <c r="A379" s="18"/>
      <c r="B379" s="19"/>
      <c r="C379" s="2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spans="1:20" ht="14.25" customHeight="1">
      <c r="A380" s="18"/>
      <c r="B380" s="19"/>
      <c r="C380" s="2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spans="1:20" ht="14.25" customHeight="1">
      <c r="A381" s="18"/>
      <c r="B381" s="19"/>
      <c r="C381" s="2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spans="1:20" ht="14.25" customHeight="1">
      <c r="A382" s="18"/>
      <c r="B382" s="19"/>
      <c r="C382" s="2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spans="1:20" ht="14.25" customHeight="1">
      <c r="A383" s="18"/>
      <c r="B383" s="19"/>
      <c r="C383" s="2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1:20" ht="14.25" customHeight="1">
      <c r="A384" s="18"/>
      <c r="B384" s="19"/>
      <c r="C384" s="2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spans="1:20" ht="14.25" customHeight="1">
      <c r="A385" s="18"/>
      <c r="B385" s="19"/>
      <c r="C385" s="2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spans="1:20" ht="14.25" customHeight="1">
      <c r="A386" s="18"/>
      <c r="B386" s="19"/>
      <c r="C386" s="2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spans="1:20" ht="14.25" customHeight="1">
      <c r="A387" s="18"/>
      <c r="B387" s="19"/>
      <c r="C387" s="2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spans="1:20" ht="14.25" customHeight="1">
      <c r="A388" s="18"/>
      <c r="B388" s="19"/>
      <c r="C388" s="2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spans="1:20" ht="14.25" customHeight="1">
      <c r="A389" s="18"/>
      <c r="B389" s="19"/>
      <c r="C389" s="2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spans="1:20" ht="14.25" customHeight="1">
      <c r="A390" s="18"/>
      <c r="B390" s="19"/>
      <c r="C390" s="2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spans="1:20" ht="14.25" customHeight="1">
      <c r="A391" s="18"/>
      <c r="B391" s="19"/>
      <c r="C391" s="2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spans="1:20" ht="14.25" customHeight="1">
      <c r="A392" s="18"/>
      <c r="B392" s="19"/>
      <c r="C392" s="2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spans="1:20" ht="14.25" customHeight="1">
      <c r="A393" s="18"/>
      <c r="B393" s="19"/>
      <c r="C393" s="2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spans="1:20" ht="14.25" customHeight="1">
      <c r="A394" s="18"/>
      <c r="B394" s="19"/>
      <c r="C394" s="2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spans="1:20" ht="14.25" customHeight="1">
      <c r="A395" s="18"/>
      <c r="B395" s="19"/>
      <c r="C395" s="2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spans="1:20" ht="14.25" customHeight="1">
      <c r="A396" s="18"/>
      <c r="B396" s="19"/>
      <c r="C396" s="2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spans="1:20" ht="14.25" customHeight="1">
      <c r="A397" s="18"/>
      <c r="B397" s="19"/>
      <c r="C397" s="2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spans="1:20" ht="14.25" customHeight="1">
      <c r="A398" s="18"/>
      <c r="B398" s="19"/>
      <c r="C398" s="2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spans="1:20" ht="14.25" customHeight="1">
      <c r="A399" s="18"/>
      <c r="B399" s="19"/>
      <c r="C399" s="2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spans="1:20" ht="14.25" customHeight="1">
      <c r="A400" s="18"/>
      <c r="B400" s="19"/>
      <c r="C400" s="2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spans="1:20" ht="14.25" customHeight="1">
      <c r="A401" s="18"/>
      <c r="B401" s="19"/>
      <c r="C401" s="2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spans="1:20" ht="14.25" customHeight="1">
      <c r="A402" s="18"/>
      <c r="B402" s="19"/>
      <c r="C402" s="2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spans="1:20" ht="14.25" customHeight="1">
      <c r="A403" s="18"/>
      <c r="B403" s="19"/>
      <c r="C403" s="2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spans="1:20" ht="14.25" customHeight="1">
      <c r="A404" s="18"/>
      <c r="B404" s="19"/>
      <c r="C404" s="2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spans="1:20" ht="14.25" customHeight="1">
      <c r="A405" s="18"/>
      <c r="B405" s="19"/>
      <c r="C405" s="2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spans="1:20" ht="14.25" customHeight="1">
      <c r="A406" s="18"/>
      <c r="B406" s="19"/>
      <c r="C406" s="2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spans="1:20" ht="14.25" customHeight="1">
      <c r="A407" s="18"/>
      <c r="B407" s="19"/>
      <c r="C407" s="2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spans="1:20" ht="14.25" customHeight="1">
      <c r="A408" s="18"/>
      <c r="B408" s="19"/>
      <c r="C408" s="2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spans="1:20" ht="14.25" customHeight="1">
      <c r="A409" s="18"/>
      <c r="B409" s="19"/>
      <c r="C409" s="2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spans="1:20" ht="14.25" customHeight="1">
      <c r="A410" s="18"/>
      <c r="B410" s="19"/>
      <c r="C410" s="2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spans="1:20" ht="14.25" customHeight="1">
      <c r="A411" s="18"/>
      <c r="B411" s="19"/>
      <c r="C411" s="2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spans="1:20" ht="14.25" customHeight="1">
      <c r="A412" s="18"/>
      <c r="B412" s="19"/>
      <c r="C412" s="2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spans="1:20" ht="14.25" customHeight="1">
      <c r="A413" s="18"/>
      <c r="B413" s="19"/>
      <c r="C413" s="2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spans="1:20" ht="14.25" customHeight="1">
      <c r="A414" s="18"/>
      <c r="B414" s="19"/>
      <c r="C414" s="2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spans="1:20" ht="14.25" customHeight="1">
      <c r="A415" s="18"/>
      <c r="B415" s="19"/>
      <c r="C415" s="2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spans="1:20" ht="14.25" customHeight="1">
      <c r="A416" s="18"/>
      <c r="B416" s="19"/>
      <c r="C416" s="2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spans="1:20" ht="14.25" customHeight="1">
      <c r="A417" s="18"/>
      <c r="B417" s="19"/>
      <c r="C417" s="2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spans="1:20" ht="14.25" customHeight="1">
      <c r="A418" s="18"/>
      <c r="B418" s="19"/>
      <c r="C418" s="2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spans="1:20" ht="14.25" customHeight="1">
      <c r="A419" s="18"/>
      <c r="B419" s="19"/>
      <c r="C419" s="2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spans="1:20" ht="14.25" customHeight="1">
      <c r="A420" s="18"/>
      <c r="B420" s="19"/>
      <c r="C420" s="2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spans="1:20" ht="14.25" customHeight="1">
      <c r="A421" s="18"/>
      <c r="B421" s="19"/>
      <c r="C421" s="2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spans="1:20" ht="14.25" customHeight="1">
      <c r="A422" s="18"/>
      <c r="B422" s="19"/>
      <c r="C422" s="2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spans="1:20" ht="14.25" customHeight="1">
      <c r="A423" s="18"/>
      <c r="B423" s="19"/>
      <c r="C423" s="2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spans="1:20" ht="14.25" customHeight="1">
      <c r="A424" s="18"/>
      <c r="B424" s="19"/>
      <c r="C424" s="2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spans="1:20" ht="14.25" customHeight="1">
      <c r="A425" s="18"/>
      <c r="B425" s="19"/>
      <c r="C425" s="2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spans="1:20" ht="14.25" customHeight="1">
      <c r="A426" s="18"/>
      <c r="B426" s="19"/>
      <c r="C426" s="2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spans="1:20" ht="14.25" customHeight="1">
      <c r="A427" s="18"/>
      <c r="B427" s="19"/>
      <c r="C427" s="2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spans="1:20" ht="14.25" customHeight="1">
      <c r="A428" s="18"/>
      <c r="B428" s="19"/>
      <c r="C428" s="2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spans="1:20" ht="14.25" customHeight="1">
      <c r="A429" s="18"/>
      <c r="B429" s="19"/>
      <c r="C429" s="2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spans="1:20" ht="14.25" customHeight="1">
      <c r="A430" s="18"/>
      <c r="B430" s="19"/>
      <c r="C430" s="2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spans="1:20" ht="14.25" customHeight="1">
      <c r="A431" s="18"/>
      <c r="B431" s="19"/>
      <c r="C431" s="2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spans="1:20" ht="14.25" customHeight="1">
      <c r="A432" s="18"/>
      <c r="B432" s="19"/>
      <c r="C432" s="2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spans="1:20" ht="14.25" customHeight="1">
      <c r="A433" s="18"/>
      <c r="B433" s="19"/>
      <c r="C433" s="2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spans="1:20" ht="14.25" customHeight="1">
      <c r="A434" s="18"/>
      <c r="B434" s="19"/>
      <c r="C434" s="2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spans="1:20" ht="14.25" customHeight="1">
      <c r="A435" s="18"/>
      <c r="B435" s="19"/>
      <c r="C435" s="2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spans="1:20" ht="14.25" customHeight="1">
      <c r="A436" s="18"/>
      <c r="B436" s="19"/>
      <c r="C436" s="2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spans="1:20" ht="14.25" customHeight="1">
      <c r="A437" s="18"/>
      <c r="B437" s="19"/>
      <c r="C437" s="2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spans="1:20" ht="14.25" customHeight="1">
      <c r="A438" s="18"/>
      <c r="B438" s="19"/>
      <c r="C438" s="2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spans="1:20" ht="14.25" customHeight="1">
      <c r="A439" s="18"/>
      <c r="B439" s="19"/>
      <c r="C439" s="2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spans="1:20" ht="14.25" customHeight="1">
      <c r="A440" s="18"/>
      <c r="B440" s="19"/>
      <c r="C440" s="2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spans="1:20" ht="14.25" customHeight="1">
      <c r="A441" s="18"/>
      <c r="B441" s="19"/>
      <c r="C441" s="2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spans="1:20" ht="14.25" customHeight="1">
      <c r="A442" s="18"/>
      <c r="B442" s="19"/>
      <c r="C442" s="2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spans="1:20" ht="14.25" customHeight="1">
      <c r="A443" s="18"/>
      <c r="B443" s="19"/>
      <c r="C443" s="2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spans="1:20" ht="14.25" customHeight="1">
      <c r="A444" s="18"/>
      <c r="B444" s="19"/>
      <c r="C444" s="2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spans="1:20" ht="14.25" customHeight="1">
      <c r="A445" s="18"/>
      <c r="B445" s="19"/>
      <c r="C445" s="2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spans="1:20" ht="14.25" customHeight="1">
      <c r="A446" s="18"/>
      <c r="B446" s="19"/>
      <c r="C446" s="2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spans="1:20" ht="14.25" customHeight="1">
      <c r="A447" s="18"/>
      <c r="B447" s="19"/>
      <c r="C447" s="2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spans="1:20" ht="14.25" customHeight="1">
      <c r="A448" s="18"/>
      <c r="B448" s="19"/>
      <c r="C448" s="2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spans="1:20" ht="14.25" customHeight="1">
      <c r="A449" s="18"/>
      <c r="B449" s="19"/>
      <c r="C449" s="2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spans="1:20" ht="14.25" customHeight="1">
      <c r="A450" s="18"/>
      <c r="B450" s="19"/>
      <c r="C450" s="2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spans="1:20" ht="14.25" customHeight="1">
      <c r="A451" s="18"/>
      <c r="B451" s="19"/>
      <c r="C451" s="2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spans="1:20" ht="14.25" customHeight="1">
      <c r="A452" s="18"/>
      <c r="B452" s="19"/>
      <c r="C452" s="2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spans="1:20" ht="14.25" customHeight="1">
      <c r="A453" s="18"/>
      <c r="B453" s="19"/>
      <c r="C453" s="2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spans="1:20" ht="14.25" customHeight="1">
      <c r="A454" s="18"/>
      <c r="B454" s="19"/>
      <c r="C454" s="2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spans="1:20" ht="14.25" customHeight="1">
      <c r="A455" s="18"/>
      <c r="B455" s="19"/>
      <c r="C455" s="2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spans="1:20" ht="14.25" customHeight="1">
      <c r="A456" s="18"/>
      <c r="B456" s="19"/>
      <c r="C456" s="2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spans="1:20" ht="14.25" customHeight="1">
      <c r="A457" s="18"/>
      <c r="B457" s="19"/>
      <c r="C457" s="2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spans="1:20" ht="14.25" customHeight="1">
      <c r="A458" s="18"/>
      <c r="B458" s="19"/>
      <c r="C458" s="2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spans="1:20" ht="14.25" customHeight="1">
      <c r="A459" s="18"/>
      <c r="B459" s="19"/>
      <c r="C459" s="2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spans="1:20" ht="14.25" customHeight="1">
      <c r="A460" s="18"/>
      <c r="B460" s="19"/>
      <c r="C460" s="2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spans="1:20" ht="14.25" customHeight="1">
      <c r="A461" s="18"/>
      <c r="B461" s="19"/>
      <c r="C461" s="2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spans="1:20" ht="14.25" customHeight="1">
      <c r="A462" s="18"/>
      <c r="B462" s="19"/>
      <c r="C462" s="2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spans="1:20" ht="14.25" customHeight="1">
      <c r="A463" s="18"/>
      <c r="B463" s="19"/>
      <c r="C463" s="2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spans="1:20" ht="14.25" customHeight="1">
      <c r="A464" s="18"/>
      <c r="B464" s="19"/>
      <c r="C464" s="2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spans="1:20" ht="14.25" customHeight="1">
      <c r="A465" s="18"/>
      <c r="B465" s="19"/>
      <c r="C465" s="2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spans="1:20" ht="14.25" customHeight="1">
      <c r="A466" s="18"/>
      <c r="B466" s="19"/>
      <c r="C466" s="2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spans="1:20" ht="14.25" customHeight="1">
      <c r="A467" s="18"/>
      <c r="B467" s="19"/>
      <c r="C467" s="2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spans="1:20" ht="14.25" customHeight="1">
      <c r="A468" s="18"/>
      <c r="B468" s="19"/>
      <c r="C468" s="2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spans="1:20" ht="14.25" customHeight="1">
      <c r="A469" s="18"/>
      <c r="B469" s="19"/>
      <c r="C469" s="2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spans="1:20" ht="14.25" customHeight="1">
      <c r="A470" s="18"/>
      <c r="B470" s="19"/>
      <c r="C470" s="2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spans="1:20" ht="14.25" customHeight="1">
      <c r="A471" s="18"/>
      <c r="B471" s="19"/>
      <c r="C471" s="2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spans="1:20" ht="14.25" customHeight="1">
      <c r="A472" s="18"/>
      <c r="B472" s="19"/>
      <c r="C472" s="2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spans="1:20" ht="14.25" customHeight="1">
      <c r="A473" s="18"/>
      <c r="B473" s="19"/>
      <c r="C473" s="2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spans="1:20" ht="14.25" customHeight="1">
      <c r="A474" s="18"/>
      <c r="B474" s="19"/>
      <c r="C474" s="2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spans="1:20" ht="14.25" customHeight="1">
      <c r="A475" s="18"/>
      <c r="B475" s="19"/>
      <c r="C475" s="2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spans="1:20" ht="14.25" customHeight="1">
      <c r="A476" s="18"/>
      <c r="B476" s="19"/>
      <c r="C476" s="2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spans="1:20" ht="14.25" customHeight="1">
      <c r="A477" s="18"/>
      <c r="B477" s="19"/>
      <c r="C477" s="2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spans="1:20" ht="14.25" customHeight="1">
      <c r="A478" s="18"/>
      <c r="B478" s="19"/>
      <c r="C478" s="2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spans="1:20" ht="14.25" customHeight="1">
      <c r="A479" s="18"/>
      <c r="B479" s="19"/>
      <c r="C479" s="2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spans="1:20" ht="14.25" customHeight="1">
      <c r="A480" s="18"/>
      <c r="B480" s="19"/>
      <c r="C480" s="2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spans="1:20" ht="14.25" customHeight="1">
      <c r="A481" s="18"/>
      <c r="B481" s="19"/>
      <c r="C481" s="2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spans="1:20" ht="14.25" customHeight="1">
      <c r="A482" s="18"/>
      <c r="B482" s="19"/>
      <c r="C482" s="2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spans="1:20" ht="14.25" customHeight="1">
      <c r="A483" s="18"/>
      <c r="B483" s="19"/>
      <c r="C483" s="2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spans="1:20" ht="14.25" customHeight="1">
      <c r="A484" s="18"/>
      <c r="B484" s="19"/>
      <c r="C484" s="2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spans="1:20" ht="14.25" customHeight="1">
      <c r="A485" s="18"/>
      <c r="B485" s="19"/>
      <c r="C485" s="2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spans="1:20" ht="14.25" customHeight="1">
      <c r="A486" s="18"/>
      <c r="B486" s="19"/>
      <c r="C486" s="2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spans="1:20" ht="14.25" customHeight="1">
      <c r="A487" s="18"/>
      <c r="B487" s="19"/>
      <c r="C487" s="2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spans="1:20" ht="14.25" customHeight="1">
      <c r="A488" s="18"/>
      <c r="B488" s="19"/>
      <c r="C488" s="2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spans="1:20" ht="14.25" customHeight="1">
      <c r="A489" s="18"/>
      <c r="B489" s="19"/>
      <c r="C489" s="2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spans="1:20" ht="14.25" customHeight="1">
      <c r="A490" s="18"/>
      <c r="B490" s="19"/>
      <c r="C490" s="2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spans="1:20" ht="14.25" customHeight="1">
      <c r="A491" s="18"/>
      <c r="B491" s="19"/>
      <c r="C491" s="2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spans="1:20" ht="14.25" customHeight="1">
      <c r="A492" s="18"/>
      <c r="B492" s="19"/>
      <c r="C492" s="2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spans="1:20" ht="14.25" customHeight="1">
      <c r="A493" s="18"/>
      <c r="B493" s="19"/>
      <c r="C493" s="2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spans="1:20" ht="14.25" customHeight="1">
      <c r="A494" s="18"/>
      <c r="B494" s="19"/>
      <c r="C494" s="2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spans="1:20" ht="14.25" customHeight="1">
      <c r="A495" s="18"/>
      <c r="B495" s="19"/>
      <c r="C495" s="2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spans="1:20" ht="14.25" customHeight="1">
      <c r="A496" s="18"/>
      <c r="B496" s="19"/>
      <c r="C496" s="2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spans="1:20" ht="14.25" customHeight="1">
      <c r="A497" s="18"/>
      <c r="B497" s="19"/>
      <c r="C497" s="2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spans="1:20" ht="14.25" customHeight="1">
      <c r="A498" s="18"/>
      <c r="B498" s="19"/>
      <c r="C498" s="2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spans="1:20" ht="14.25" customHeight="1">
      <c r="A499" s="18"/>
      <c r="B499" s="19"/>
      <c r="C499" s="2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spans="1:20" ht="14.25" customHeight="1">
      <c r="A500" s="18"/>
      <c r="B500" s="19"/>
      <c r="C500" s="2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spans="1:20" ht="14.25" customHeight="1">
      <c r="A501" s="18"/>
      <c r="B501" s="19"/>
      <c r="C501" s="2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spans="1:20" ht="14.25" customHeight="1">
      <c r="A502" s="18"/>
      <c r="B502" s="19"/>
      <c r="C502" s="2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spans="1:20" ht="14.25" customHeight="1">
      <c r="A503" s="18"/>
      <c r="B503" s="19"/>
      <c r="C503" s="2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spans="1:20" ht="14.25" customHeight="1">
      <c r="A504" s="18"/>
      <c r="B504" s="19"/>
      <c r="C504" s="2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spans="1:20" ht="14.25" customHeight="1">
      <c r="A505" s="18"/>
      <c r="B505" s="19"/>
      <c r="C505" s="2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spans="1:20" ht="14.25" customHeight="1">
      <c r="A506" s="18"/>
      <c r="B506" s="19"/>
      <c r="C506" s="2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spans="1:20" ht="14.25" customHeight="1">
      <c r="A507" s="18"/>
      <c r="B507" s="19"/>
      <c r="C507" s="2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spans="1:20" ht="14.25" customHeight="1">
      <c r="A508" s="18"/>
      <c r="B508" s="19"/>
      <c r="C508" s="2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spans="1:20" ht="14.25" customHeight="1">
      <c r="A509" s="18"/>
      <c r="B509" s="19"/>
      <c r="C509" s="2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spans="1:20" ht="14.25" customHeight="1">
      <c r="A510" s="18"/>
      <c r="B510" s="19"/>
      <c r="C510" s="2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spans="1:20" ht="14.25" customHeight="1">
      <c r="A511" s="18"/>
      <c r="B511" s="19"/>
      <c r="C511" s="2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spans="1:20" ht="14.25" customHeight="1">
      <c r="A512" s="18"/>
      <c r="B512" s="19"/>
      <c r="C512" s="2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spans="1:20" ht="14.25" customHeight="1">
      <c r="A513" s="18"/>
      <c r="B513" s="19"/>
      <c r="C513" s="2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spans="1:20" ht="14.25" customHeight="1">
      <c r="A514" s="18"/>
      <c r="B514" s="19"/>
      <c r="C514" s="2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spans="1:20" ht="14.25" customHeight="1">
      <c r="A515" s="18"/>
      <c r="B515" s="19"/>
      <c r="C515" s="2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spans="1:20" ht="14.25" customHeight="1">
      <c r="A516" s="18"/>
      <c r="B516" s="19"/>
      <c r="C516" s="2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spans="1:20" ht="14.25" customHeight="1">
      <c r="A517" s="18"/>
      <c r="B517" s="19"/>
      <c r="C517" s="2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spans="1:20" ht="14.25" customHeight="1">
      <c r="A518" s="18"/>
      <c r="B518" s="19"/>
      <c r="C518" s="2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spans="1:20" ht="14.25" customHeight="1">
      <c r="A519" s="18"/>
      <c r="B519" s="19"/>
      <c r="C519" s="2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spans="1:20" ht="14.25" customHeight="1">
      <c r="A520" s="18"/>
      <c r="B520" s="19"/>
      <c r="C520" s="2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spans="1:20" ht="14.25" customHeight="1">
      <c r="A521" s="18"/>
      <c r="B521" s="19"/>
      <c r="C521" s="2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spans="1:20" ht="14.25" customHeight="1">
      <c r="A522" s="18"/>
      <c r="B522" s="19"/>
      <c r="C522" s="2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spans="1:20" ht="14.25" customHeight="1">
      <c r="A523" s="18"/>
      <c r="B523" s="19"/>
      <c r="C523" s="2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spans="1:20" ht="14.25" customHeight="1">
      <c r="A524" s="18"/>
      <c r="B524" s="19"/>
      <c r="C524" s="2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spans="1:20" ht="14.25" customHeight="1">
      <c r="A525" s="18"/>
      <c r="B525" s="19"/>
      <c r="C525" s="2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spans="1:20" ht="14.25" customHeight="1">
      <c r="A526" s="18"/>
      <c r="B526" s="19"/>
      <c r="C526" s="2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spans="1:20" ht="14.25" customHeight="1">
      <c r="A527" s="18"/>
      <c r="B527" s="19"/>
      <c r="C527" s="2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spans="1:20" ht="14.25" customHeight="1">
      <c r="A528" s="18"/>
      <c r="B528" s="19"/>
      <c r="C528" s="2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spans="1:20" ht="14.25" customHeight="1">
      <c r="A529" s="18"/>
      <c r="B529" s="19"/>
      <c r="C529" s="2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spans="1:20" ht="14.25" customHeight="1">
      <c r="A530" s="18"/>
      <c r="B530" s="19"/>
      <c r="C530" s="2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spans="1:20" ht="14.25" customHeight="1">
      <c r="A531" s="18"/>
      <c r="B531" s="19"/>
      <c r="C531" s="2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spans="1:20" ht="14.25" customHeight="1">
      <c r="A532" s="18"/>
      <c r="B532" s="19"/>
      <c r="C532" s="2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spans="1:20" ht="14.25" customHeight="1">
      <c r="A533" s="18"/>
      <c r="B533" s="19"/>
      <c r="C533" s="2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spans="1:20" ht="14.25" customHeight="1">
      <c r="A534" s="18"/>
      <c r="B534" s="19"/>
      <c r="C534" s="2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spans="1:20" ht="14.25" customHeight="1">
      <c r="A535" s="18"/>
      <c r="B535" s="19"/>
      <c r="C535" s="2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spans="1:20" ht="14.25" customHeight="1">
      <c r="A536" s="18"/>
      <c r="B536" s="19"/>
      <c r="C536" s="2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spans="1:20" ht="14.25" customHeight="1">
      <c r="A537" s="18"/>
      <c r="B537" s="19"/>
      <c r="C537" s="2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spans="1:20" ht="14.25" customHeight="1">
      <c r="A538" s="18"/>
      <c r="B538" s="19"/>
      <c r="C538" s="2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spans="1:20" ht="14.25" customHeight="1">
      <c r="A539" s="18"/>
      <c r="B539" s="19"/>
      <c r="C539" s="2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spans="1:20" ht="14.25" customHeight="1">
      <c r="A540" s="18"/>
      <c r="B540" s="19"/>
      <c r="C540" s="2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1:20" ht="14.25" customHeight="1">
      <c r="A541" s="18"/>
      <c r="B541" s="19"/>
      <c r="C541" s="2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spans="1:20" ht="14.25" customHeight="1">
      <c r="A542" s="18"/>
      <c r="B542" s="19"/>
      <c r="C542" s="2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spans="1:20" ht="14.25" customHeight="1">
      <c r="A543" s="18"/>
      <c r="B543" s="19"/>
      <c r="C543" s="2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spans="1:20" ht="14.25" customHeight="1">
      <c r="A544" s="18"/>
      <c r="B544" s="19"/>
      <c r="C544" s="2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spans="1:20" ht="14.25" customHeight="1">
      <c r="A545" s="18"/>
      <c r="B545" s="19"/>
      <c r="C545" s="2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spans="1:20" ht="14.25" customHeight="1">
      <c r="A546" s="18"/>
      <c r="B546" s="19"/>
      <c r="C546" s="2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spans="1:20" ht="14.25" customHeight="1">
      <c r="A547" s="18"/>
      <c r="B547" s="19"/>
      <c r="C547" s="2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spans="1:20" ht="14.25" customHeight="1">
      <c r="A548" s="18"/>
      <c r="B548" s="19"/>
      <c r="C548" s="2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spans="1:20" ht="14.25" customHeight="1">
      <c r="A549" s="18"/>
      <c r="B549" s="19"/>
      <c r="C549" s="2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spans="1:20" ht="14.25" customHeight="1">
      <c r="A550" s="18"/>
      <c r="B550" s="19"/>
      <c r="C550" s="2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spans="1:20" ht="14.25" customHeight="1">
      <c r="A551" s="18"/>
      <c r="B551" s="19"/>
      <c r="C551" s="2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spans="1:20" ht="14.25" customHeight="1">
      <c r="A552" s="18"/>
      <c r="B552" s="19"/>
      <c r="C552" s="2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spans="1:20" ht="14.25" customHeight="1">
      <c r="A553" s="18"/>
      <c r="B553" s="19"/>
      <c r="C553" s="2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spans="1:20" ht="14.25" customHeight="1">
      <c r="A554" s="18"/>
      <c r="B554" s="19"/>
      <c r="C554" s="2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spans="1:20" ht="14.25" customHeight="1">
      <c r="A555" s="18"/>
      <c r="B555" s="19"/>
      <c r="C555" s="2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spans="1:20" ht="14.25" customHeight="1">
      <c r="A556" s="18"/>
      <c r="B556" s="19"/>
      <c r="C556" s="2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spans="1:20" ht="14.25" customHeight="1">
      <c r="A557" s="18"/>
      <c r="B557" s="19"/>
      <c r="C557" s="2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spans="1:20" ht="14.25" customHeight="1">
      <c r="A558" s="18"/>
      <c r="B558" s="19"/>
      <c r="C558" s="2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spans="1:20" ht="14.25" customHeight="1">
      <c r="A559" s="18"/>
      <c r="B559" s="19"/>
      <c r="C559" s="2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spans="1:20" ht="14.25" customHeight="1">
      <c r="A560" s="18"/>
      <c r="B560" s="19"/>
      <c r="C560" s="2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spans="1:20" ht="14.25" customHeight="1">
      <c r="A561" s="18"/>
      <c r="B561" s="19"/>
      <c r="C561" s="2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spans="1:20" ht="14.25" customHeight="1">
      <c r="A562" s="18"/>
      <c r="B562" s="19"/>
      <c r="C562" s="2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spans="1:20" ht="14.25" customHeight="1">
      <c r="A563" s="18"/>
      <c r="B563" s="19"/>
      <c r="C563" s="2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spans="1:20" ht="14.25" customHeight="1">
      <c r="A564" s="18"/>
      <c r="B564" s="19"/>
      <c r="C564" s="2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spans="1:20" ht="14.25" customHeight="1">
      <c r="A565" s="18"/>
      <c r="B565" s="19"/>
      <c r="C565" s="2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spans="1:20" ht="14.25" customHeight="1">
      <c r="A566" s="18"/>
      <c r="B566" s="19"/>
      <c r="C566" s="2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spans="1:20" ht="14.25" customHeight="1">
      <c r="A567" s="18"/>
      <c r="B567" s="19"/>
      <c r="C567" s="2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spans="1:20" ht="14.25" customHeight="1">
      <c r="A568" s="18"/>
      <c r="B568" s="19"/>
      <c r="C568" s="2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spans="1:20" ht="14.25" customHeight="1">
      <c r="A569" s="18"/>
      <c r="B569" s="19"/>
      <c r="C569" s="2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spans="1:20" ht="14.25" customHeight="1">
      <c r="A570" s="18"/>
      <c r="B570" s="19"/>
      <c r="C570" s="2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spans="1:20" ht="14.25" customHeight="1">
      <c r="A571" s="18"/>
      <c r="B571" s="19"/>
      <c r="C571" s="2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spans="1:20" ht="14.25" customHeight="1">
      <c r="A572" s="18"/>
      <c r="B572" s="19"/>
      <c r="C572" s="2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spans="1:20" ht="14.25" customHeight="1">
      <c r="A573" s="18"/>
      <c r="B573" s="19"/>
      <c r="C573" s="2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spans="1:20" ht="14.25" customHeight="1">
      <c r="A574" s="18"/>
      <c r="B574" s="19"/>
      <c r="C574" s="2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spans="1:20" ht="14.25" customHeight="1">
      <c r="A575" s="18"/>
      <c r="B575" s="19"/>
      <c r="C575" s="2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spans="1:20" ht="14.25" customHeight="1">
      <c r="A576" s="18"/>
      <c r="B576" s="19"/>
      <c r="C576" s="2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spans="1:20" ht="14.25" customHeight="1">
      <c r="A577" s="18"/>
      <c r="B577" s="19"/>
      <c r="C577" s="2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spans="1:20" ht="14.25" customHeight="1">
      <c r="A578" s="18"/>
      <c r="B578" s="19"/>
      <c r="C578" s="2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spans="1:20" ht="14.25" customHeight="1">
      <c r="A579" s="18"/>
      <c r="B579" s="19"/>
      <c r="C579" s="2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spans="1:20" ht="14.25" customHeight="1">
      <c r="A580" s="18"/>
      <c r="B580" s="19"/>
      <c r="C580" s="2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spans="1:20" ht="14.25" customHeight="1">
      <c r="A581" s="18"/>
      <c r="B581" s="19"/>
      <c r="C581" s="2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spans="1:20" ht="14.25" customHeight="1">
      <c r="A582" s="18"/>
      <c r="B582" s="19"/>
      <c r="C582" s="2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spans="1:20" ht="14.25" customHeight="1">
      <c r="A583" s="18"/>
      <c r="B583" s="19"/>
      <c r="C583" s="2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spans="1:20" ht="14.25" customHeight="1">
      <c r="A584" s="18"/>
      <c r="B584" s="19"/>
      <c r="C584" s="2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spans="1:20" ht="14.25" customHeight="1">
      <c r="A585" s="18"/>
      <c r="B585" s="19"/>
      <c r="C585" s="2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spans="1:20" ht="14.25" customHeight="1">
      <c r="A586" s="18"/>
      <c r="B586" s="19"/>
      <c r="C586" s="2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spans="1:20" ht="14.25" customHeight="1">
      <c r="A587" s="18"/>
      <c r="B587" s="19"/>
      <c r="C587" s="2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spans="1:20" ht="14.25" customHeight="1">
      <c r="A588" s="18"/>
      <c r="B588" s="19"/>
      <c r="C588" s="2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spans="1:20" ht="14.25" customHeight="1">
      <c r="A589" s="18"/>
      <c r="B589" s="19"/>
      <c r="C589" s="2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spans="1:20" ht="14.25" customHeight="1">
      <c r="A590" s="18"/>
      <c r="B590" s="19"/>
      <c r="C590" s="2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spans="1:20" ht="14.25" customHeight="1">
      <c r="A591" s="18"/>
      <c r="B591" s="19"/>
      <c r="C591" s="2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spans="1:20" ht="14.25" customHeight="1">
      <c r="A592" s="18"/>
      <c r="B592" s="19"/>
      <c r="C592" s="2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spans="1:20" ht="14.25" customHeight="1">
      <c r="A593" s="18"/>
      <c r="B593" s="19"/>
      <c r="C593" s="2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spans="1:20" ht="14.25" customHeight="1">
      <c r="A594" s="18"/>
      <c r="B594" s="19"/>
      <c r="C594" s="2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spans="1:20" ht="14.25" customHeight="1">
      <c r="A595" s="18"/>
      <c r="B595" s="19"/>
      <c r="C595" s="2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spans="1:20" ht="14.25" customHeight="1">
      <c r="A596" s="18"/>
      <c r="B596" s="19"/>
      <c r="C596" s="2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spans="1:20" ht="14.25" customHeight="1">
      <c r="A597" s="18"/>
      <c r="B597" s="19"/>
      <c r="C597" s="2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spans="1:20" ht="14.25" customHeight="1">
      <c r="A598" s="18"/>
      <c r="B598" s="19"/>
      <c r="C598" s="2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spans="1:20" ht="14.25" customHeight="1">
      <c r="A599" s="18"/>
      <c r="B599" s="19"/>
      <c r="C599" s="2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spans="1:20" ht="14.25" customHeight="1">
      <c r="A600" s="18"/>
      <c r="B600" s="19"/>
      <c r="C600" s="2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spans="1:20" ht="14.25" customHeight="1">
      <c r="A601" s="18"/>
      <c r="B601" s="19"/>
      <c r="C601" s="2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spans="1:20" ht="14.25" customHeight="1">
      <c r="A602" s="18"/>
      <c r="B602" s="19"/>
      <c r="C602" s="2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spans="1:20" ht="14.25" customHeight="1">
      <c r="A603" s="18"/>
      <c r="B603" s="19"/>
      <c r="C603" s="2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spans="1:20" ht="14.25" customHeight="1">
      <c r="A604" s="18"/>
      <c r="B604" s="19"/>
      <c r="C604" s="2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spans="1:20" ht="14.25" customHeight="1">
      <c r="A605" s="18"/>
      <c r="B605" s="19"/>
      <c r="C605" s="2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spans="1:20" ht="14.25" customHeight="1">
      <c r="A606" s="18"/>
      <c r="B606" s="19"/>
      <c r="C606" s="2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spans="1:20" ht="14.25" customHeight="1">
      <c r="A607" s="18"/>
      <c r="B607" s="19"/>
      <c r="C607" s="2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spans="1:20" ht="14.25" customHeight="1">
      <c r="A608" s="18"/>
      <c r="B608" s="19"/>
      <c r="C608" s="2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spans="1:20" ht="14.25" customHeight="1">
      <c r="A609" s="18"/>
      <c r="B609" s="19"/>
      <c r="C609" s="2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spans="1:20" ht="14.25" customHeight="1">
      <c r="A610" s="18"/>
      <c r="B610" s="19"/>
      <c r="C610" s="2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spans="1:20" ht="14.25" customHeight="1">
      <c r="A611" s="18"/>
      <c r="B611" s="19"/>
      <c r="C611" s="2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spans="1:20" ht="14.25" customHeight="1">
      <c r="A612" s="18"/>
      <c r="B612" s="19"/>
      <c r="C612" s="2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spans="1:20" ht="14.25" customHeight="1">
      <c r="A613" s="18"/>
      <c r="B613" s="19"/>
      <c r="C613" s="2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spans="1:20" ht="14.25" customHeight="1">
      <c r="A614" s="18"/>
      <c r="B614" s="19"/>
      <c r="C614" s="2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spans="1:20" ht="14.25" customHeight="1">
      <c r="A615" s="18"/>
      <c r="B615" s="19"/>
      <c r="C615" s="2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spans="1:20" ht="14.25" customHeight="1">
      <c r="A616" s="18"/>
      <c r="B616" s="19"/>
      <c r="C616" s="2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spans="1:20" ht="14.25" customHeight="1">
      <c r="A617" s="18"/>
      <c r="B617" s="19"/>
      <c r="C617" s="2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spans="1:20" ht="14.25" customHeight="1">
      <c r="A618" s="18"/>
      <c r="B618" s="19"/>
      <c r="C618" s="2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spans="1:20" ht="14.25" customHeight="1">
      <c r="A619" s="18"/>
      <c r="B619" s="19"/>
      <c r="C619" s="2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spans="1:20" ht="14.25" customHeight="1">
      <c r="A620" s="18"/>
      <c r="B620" s="19"/>
      <c r="C620" s="2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spans="1:20" ht="14.25" customHeight="1">
      <c r="A621" s="18"/>
      <c r="B621" s="19"/>
      <c r="C621" s="2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spans="1:20" ht="14.25" customHeight="1">
      <c r="A622" s="18"/>
      <c r="B622" s="19"/>
      <c r="C622" s="2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spans="1:20" ht="14.25" customHeight="1">
      <c r="A623" s="18"/>
      <c r="B623" s="19"/>
      <c r="C623" s="2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spans="1:20" ht="14.25" customHeight="1">
      <c r="A624" s="18"/>
      <c r="B624" s="19"/>
      <c r="C624" s="2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spans="1:20" ht="14.25" customHeight="1">
      <c r="A625" s="18"/>
      <c r="B625" s="19"/>
      <c r="C625" s="2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spans="1:20" ht="14.25" customHeight="1">
      <c r="A626" s="18"/>
      <c r="B626" s="19"/>
      <c r="C626" s="2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spans="1:20" ht="14.25" customHeight="1">
      <c r="A627" s="18"/>
      <c r="B627" s="19"/>
      <c r="C627" s="2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spans="1:20" ht="14.25" customHeight="1">
      <c r="A628" s="18"/>
      <c r="B628" s="19"/>
      <c r="C628" s="2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spans="1:20" ht="14.25" customHeight="1">
      <c r="A629" s="18"/>
      <c r="B629" s="19"/>
      <c r="C629" s="2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spans="1:20" ht="14.25" customHeight="1">
      <c r="A630" s="18"/>
      <c r="B630" s="19"/>
      <c r="C630" s="2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spans="1:20" ht="14.25" customHeight="1">
      <c r="A631" s="18"/>
      <c r="B631" s="19"/>
      <c r="C631" s="2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spans="1:20" ht="14.25" customHeight="1">
      <c r="A632" s="18"/>
      <c r="B632" s="19"/>
      <c r="C632" s="2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spans="1:20" ht="14.25" customHeight="1">
      <c r="A633" s="18"/>
      <c r="B633" s="19"/>
      <c r="C633" s="2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spans="1:20" ht="14.25" customHeight="1">
      <c r="A634" s="18"/>
      <c r="B634" s="19"/>
      <c r="C634" s="2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spans="1:20" ht="14.25" customHeight="1">
      <c r="A635" s="18"/>
      <c r="B635" s="19"/>
      <c r="C635" s="2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spans="1:20" ht="14.25" customHeight="1">
      <c r="A636" s="18"/>
      <c r="B636" s="19"/>
      <c r="C636" s="2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spans="1:20" ht="14.25" customHeight="1">
      <c r="A637" s="18"/>
      <c r="B637" s="19"/>
      <c r="C637" s="2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spans="1:20" ht="14.25" customHeight="1">
      <c r="A638" s="18"/>
      <c r="B638" s="19"/>
      <c r="C638" s="2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spans="1:20" ht="14.25" customHeight="1">
      <c r="A639" s="18"/>
      <c r="B639" s="19"/>
      <c r="C639" s="2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spans="1:20" ht="14.25" customHeight="1">
      <c r="A640" s="18"/>
      <c r="B640" s="19"/>
      <c r="C640" s="2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spans="1:20" ht="14.25" customHeight="1">
      <c r="A641" s="18"/>
      <c r="B641" s="19"/>
      <c r="C641" s="2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spans="1:20" ht="14.25" customHeight="1">
      <c r="A642" s="18"/>
      <c r="B642" s="19"/>
      <c r="C642" s="2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spans="1:20" ht="14.25" customHeight="1">
      <c r="A643" s="18"/>
      <c r="B643" s="19"/>
      <c r="C643" s="2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spans="1:20" ht="14.25" customHeight="1">
      <c r="A644" s="18"/>
      <c r="B644" s="19"/>
      <c r="C644" s="2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spans="1:20" ht="14.25" customHeight="1">
      <c r="A645" s="18"/>
      <c r="B645" s="19"/>
      <c r="C645" s="2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spans="1:20" ht="14.25" customHeight="1">
      <c r="A646" s="18"/>
      <c r="B646" s="19"/>
      <c r="C646" s="2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spans="1:20" ht="14.25" customHeight="1">
      <c r="A647" s="18"/>
      <c r="B647" s="19"/>
      <c r="C647" s="2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spans="1:20" ht="14.25" customHeight="1">
      <c r="A648" s="18"/>
      <c r="B648" s="19"/>
      <c r="C648" s="2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spans="1:20" ht="14.25" customHeight="1">
      <c r="A649" s="18"/>
      <c r="B649" s="19"/>
      <c r="C649" s="2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spans="1:20" ht="14.25" customHeight="1">
      <c r="A650" s="18"/>
      <c r="B650" s="19"/>
      <c r="C650" s="2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spans="1:20" ht="14.25" customHeight="1">
      <c r="A651" s="18"/>
      <c r="B651" s="19"/>
      <c r="C651" s="2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spans="1:20" ht="14.25" customHeight="1">
      <c r="A652" s="18"/>
      <c r="B652" s="19"/>
      <c r="C652" s="2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spans="1:20" ht="14.25" customHeight="1">
      <c r="A653" s="18"/>
      <c r="B653" s="19"/>
      <c r="C653" s="2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spans="1:20" ht="14.25" customHeight="1">
      <c r="A654" s="18"/>
      <c r="B654" s="19"/>
      <c r="C654" s="2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spans="1:20" ht="14.25" customHeight="1">
      <c r="A655" s="18"/>
      <c r="B655" s="19"/>
      <c r="C655" s="2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spans="1:20" ht="14.25" customHeight="1">
      <c r="A656" s="18"/>
      <c r="B656" s="19"/>
      <c r="C656" s="2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spans="1:20" ht="14.25" customHeight="1">
      <c r="A657" s="18"/>
      <c r="B657" s="19"/>
      <c r="C657" s="2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spans="1:20" ht="14.25" customHeight="1">
      <c r="A658" s="18"/>
      <c r="B658" s="19"/>
      <c r="C658" s="2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spans="1:20" ht="14.25" customHeight="1">
      <c r="A659" s="18"/>
      <c r="B659" s="19"/>
      <c r="C659" s="2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spans="1:20" ht="14.25" customHeight="1">
      <c r="A660" s="18"/>
      <c r="B660" s="19"/>
      <c r="C660" s="2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spans="1:20" ht="14.25" customHeight="1">
      <c r="A661" s="18"/>
      <c r="B661" s="19"/>
      <c r="C661" s="2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spans="1:20" ht="14.25" customHeight="1">
      <c r="A662" s="18"/>
      <c r="B662" s="19"/>
      <c r="C662" s="2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spans="1:20" ht="14.25" customHeight="1">
      <c r="A663" s="18"/>
      <c r="B663" s="19"/>
      <c r="C663" s="2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spans="1:20" ht="14.25" customHeight="1">
      <c r="A664" s="18"/>
      <c r="B664" s="19"/>
      <c r="C664" s="2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spans="1:20" ht="14.25" customHeight="1">
      <c r="A665" s="18"/>
      <c r="B665" s="19"/>
      <c r="C665" s="2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spans="1:20" ht="14.25" customHeight="1">
      <c r="A666" s="18"/>
      <c r="B666" s="19"/>
      <c r="C666" s="2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spans="1:20" ht="14.25" customHeight="1">
      <c r="A667" s="18"/>
      <c r="B667" s="19"/>
      <c r="C667" s="2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spans="1:20" ht="14.25" customHeight="1">
      <c r="A668" s="18"/>
      <c r="B668" s="19"/>
      <c r="C668" s="2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spans="1:20" ht="14.25" customHeight="1">
      <c r="A669" s="18"/>
      <c r="B669" s="19"/>
      <c r="C669" s="2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spans="1:20" ht="14.25" customHeight="1">
      <c r="A670" s="18"/>
      <c r="B670" s="19"/>
      <c r="C670" s="2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spans="1:20" ht="14.25" customHeight="1">
      <c r="A671" s="18"/>
      <c r="B671" s="19"/>
      <c r="C671" s="2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spans="1:20" ht="14.25" customHeight="1">
      <c r="A672" s="18"/>
      <c r="B672" s="19"/>
      <c r="C672" s="2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spans="1:20" ht="14.25" customHeight="1">
      <c r="A673" s="18"/>
      <c r="B673" s="19"/>
      <c r="C673" s="2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spans="1:20" ht="14.25" customHeight="1">
      <c r="A674" s="18"/>
      <c r="B674" s="19"/>
      <c r="C674" s="2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spans="1:20" ht="14.25" customHeight="1">
      <c r="A675" s="18"/>
      <c r="B675" s="19"/>
      <c r="C675" s="2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spans="1:20" ht="14.25" customHeight="1">
      <c r="A676" s="18"/>
      <c r="B676" s="19"/>
      <c r="C676" s="2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spans="1:20" ht="14.25" customHeight="1">
      <c r="A677" s="18"/>
      <c r="B677" s="19"/>
      <c r="C677" s="2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spans="1:20" ht="14.25" customHeight="1">
      <c r="A678" s="18"/>
      <c r="B678" s="19"/>
      <c r="C678" s="2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spans="1:20" ht="14.25" customHeight="1">
      <c r="A679" s="18"/>
      <c r="B679" s="19"/>
      <c r="C679" s="2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spans="1:20" ht="14.25" customHeight="1">
      <c r="A680" s="18"/>
      <c r="B680" s="19"/>
      <c r="C680" s="2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spans="1:20" ht="14.25" customHeight="1">
      <c r="A681" s="18"/>
      <c r="B681" s="19"/>
      <c r="C681" s="2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spans="1:20" ht="14.25" customHeight="1">
      <c r="A682" s="18"/>
      <c r="B682" s="19"/>
      <c r="C682" s="2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spans="1:20" ht="14.25" customHeight="1">
      <c r="A683" s="18"/>
      <c r="B683" s="19"/>
      <c r="C683" s="2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spans="1:20" ht="14.25" customHeight="1">
      <c r="A684" s="18"/>
      <c r="B684" s="19"/>
      <c r="C684" s="2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spans="1:20" ht="14.25" customHeight="1">
      <c r="A685" s="18"/>
      <c r="B685" s="19"/>
      <c r="C685" s="2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spans="1:20" ht="14.25" customHeight="1">
      <c r="A686" s="18"/>
      <c r="B686" s="19"/>
      <c r="C686" s="2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spans="1:20" ht="14.25" customHeight="1">
      <c r="A687" s="18"/>
      <c r="B687" s="19"/>
      <c r="C687" s="2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spans="1:20" ht="14.25" customHeight="1">
      <c r="A688" s="18"/>
      <c r="B688" s="19"/>
      <c r="C688" s="2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spans="1:20" ht="14.25" customHeight="1">
      <c r="A689" s="18"/>
      <c r="B689" s="19"/>
      <c r="C689" s="2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spans="1:20" ht="14.25" customHeight="1">
      <c r="A690" s="18"/>
      <c r="B690" s="19"/>
      <c r="C690" s="2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spans="1:20" ht="14.25" customHeight="1">
      <c r="A691" s="18"/>
      <c r="B691" s="19"/>
      <c r="C691" s="2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spans="1:20" ht="14.25" customHeight="1">
      <c r="A692" s="18"/>
      <c r="B692" s="19"/>
      <c r="C692" s="2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spans="1:20" ht="14.25" customHeight="1">
      <c r="A693" s="18"/>
      <c r="B693" s="19"/>
      <c r="C693" s="2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spans="1:20" ht="14.25" customHeight="1">
      <c r="A694" s="18"/>
      <c r="B694" s="19"/>
      <c r="C694" s="2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spans="1:20" ht="14.25" customHeight="1">
      <c r="A695" s="18"/>
      <c r="B695" s="19"/>
      <c r="C695" s="2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spans="1:20" ht="14.25" customHeight="1">
      <c r="A696" s="18"/>
      <c r="B696" s="19"/>
      <c r="C696" s="2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spans="1:20" ht="14.25" customHeight="1">
      <c r="A697" s="18"/>
      <c r="B697" s="19"/>
      <c r="C697" s="2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spans="1:20" ht="14.25" customHeight="1">
      <c r="A698" s="18"/>
      <c r="B698" s="19"/>
      <c r="C698" s="2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spans="1:20" ht="14.25" customHeight="1">
      <c r="A699" s="18"/>
      <c r="B699" s="19"/>
      <c r="C699" s="2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spans="1:20" ht="14.25" customHeight="1">
      <c r="A700" s="18"/>
      <c r="B700" s="19"/>
      <c r="C700" s="2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spans="1:20" ht="14.25" customHeight="1">
      <c r="A701" s="18"/>
      <c r="B701" s="19"/>
      <c r="C701" s="2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spans="1:20" ht="14.25" customHeight="1">
      <c r="A702" s="18"/>
      <c r="B702" s="19"/>
      <c r="C702" s="2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spans="1:20" ht="14.25" customHeight="1">
      <c r="A703" s="18"/>
      <c r="B703" s="19"/>
      <c r="C703" s="2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spans="1:20" ht="14.25" customHeight="1">
      <c r="A704" s="18"/>
      <c r="B704" s="19"/>
      <c r="C704" s="2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spans="1:20" ht="14.25" customHeight="1">
      <c r="A705" s="18"/>
      <c r="B705" s="19"/>
      <c r="C705" s="2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spans="1:20" ht="14.25" customHeight="1">
      <c r="A706" s="18"/>
      <c r="B706" s="19"/>
      <c r="C706" s="2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spans="1:20" ht="14.25" customHeight="1">
      <c r="A707" s="18"/>
      <c r="B707" s="19"/>
      <c r="C707" s="2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spans="1:20" ht="14.25" customHeight="1">
      <c r="A708" s="18"/>
      <c r="B708" s="19"/>
      <c r="C708" s="2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spans="1:20" ht="14.25" customHeight="1">
      <c r="A709" s="18"/>
      <c r="B709" s="19"/>
      <c r="C709" s="2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spans="1:20" ht="14.25" customHeight="1">
      <c r="A710" s="18"/>
      <c r="B710" s="19"/>
      <c r="C710" s="2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spans="1:20" ht="14.25" customHeight="1">
      <c r="A711" s="18"/>
      <c r="B711" s="19"/>
      <c r="C711" s="2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spans="1:20" ht="14.25" customHeight="1">
      <c r="A712" s="18"/>
      <c r="B712" s="19"/>
      <c r="C712" s="2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spans="1:20" ht="14.25" customHeight="1">
      <c r="A713" s="18"/>
      <c r="B713" s="19"/>
      <c r="C713" s="2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spans="1:20" ht="14.25" customHeight="1">
      <c r="A714" s="18"/>
      <c r="B714" s="19"/>
      <c r="C714" s="2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spans="1:20" ht="14.25" customHeight="1">
      <c r="A715" s="18"/>
      <c r="B715" s="19"/>
      <c r="C715" s="2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spans="1:20" ht="14.25" customHeight="1">
      <c r="A716" s="18"/>
      <c r="B716" s="19"/>
      <c r="C716" s="2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spans="1:20" ht="14.25" customHeight="1">
      <c r="A717" s="18"/>
      <c r="B717" s="19"/>
      <c r="C717" s="2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spans="1:20" ht="14.25" customHeight="1">
      <c r="A718" s="18"/>
      <c r="B718" s="19"/>
      <c r="C718" s="2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spans="1:20" ht="14.25" customHeight="1">
      <c r="A719" s="18"/>
      <c r="B719" s="19"/>
      <c r="C719" s="2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spans="1:20" ht="14.25" customHeight="1">
      <c r="A720" s="18"/>
      <c r="B720" s="19"/>
      <c r="C720" s="2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spans="1:20" ht="14.25" customHeight="1">
      <c r="A721" s="18"/>
      <c r="B721" s="19"/>
      <c r="C721" s="2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spans="1:20" ht="14.25" customHeight="1">
      <c r="A722" s="18"/>
      <c r="B722" s="19"/>
      <c r="C722" s="2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spans="1:20" ht="14.25" customHeight="1">
      <c r="A723" s="18"/>
      <c r="B723" s="19"/>
      <c r="C723" s="2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spans="1:20" ht="14.25" customHeight="1">
      <c r="A724" s="18"/>
      <c r="B724" s="19"/>
      <c r="C724" s="2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spans="1:20" ht="14.25" customHeight="1">
      <c r="A725" s="18"/>
      <c r="B725" s="19"/>
      <c r="C725" s="2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spans="1:20" ht="14.25" customHeight="1">
      <c r="A726" s="18"/>
      <c r="B726" s="19"/>
      <c r="C726" s="2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spans="1:20" ht="14.25" customHeight="1">
      <c r="A727" s="18"/>
      <c r="B727" s="19"/>
      <c r="C727" s="2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spans="1:20" ht="14.25" customHeight="1">
      <c r="A728" s="18"/>
      <c r="B728" s="19"/>
      <c r="C728" s="2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spans="1:20" ht="14.25" customHeight="1">
      <c r="A729" s="18"/>
      <c r="B729" s="19"/>
      <c r="C729" s="2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spans="1:20" ht="14.25" customHeight="1">
      <c r="A730" s="18"/>
      <c r="B730" s="19"/>
      <c r="C730" s="2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spans="1:20" ht="14.25" customHeight="1">
      <c r="A731" s="18"/>
      <c r="B731" s="19"/>
      <c r="C731" s="2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spans="1:20" ht="14.25" customHeight="1">
      <c r="A732" s="18"/>
      <c r="B732" s="19"/>
      <c r="C732" s="2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spans="1:20" ht="14.25" customHeight="1">
      <c r="A733" s="18"/>
      <c r="B733" s="19"/>
      <c r="C733" s="2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spans="1:20" ht="14.25" customHeight="1">
      <c r="A734" s="18"/>
      <c r="B734" s="19"/>
      <c r="C734" s="2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spans="1:20" ht="14.25" customHeight="1">
      <c r="A735" s="18"/>
      <c r="B735" s="19"/>
      <c r="C735" s="2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spans="1:20" ht="14.25" customHeight="1">
      <c r="A736" s="18"/>
      <c r="B736" s="19"/>
      <c r="C736" s="2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spans="1:20" ht="14.25" customHeight="1">
      <c r="A737" s="18"/>
      <c r="B737" s="19"/>
      <c r="C737" s="2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spans="1:20" ht="14.25" customHeight="1">
      <c r="A738" s="18"/>
      <c r="B738" s="19"/>
      <c r="C738" s="2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spans="1:20" ht="14.25" customHeight="1">
      <c r="A739" s="18"/>
      <c r="B739" s="19"/>
      <c r="C739" s="2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spans="1:20" ht="14.25" customHeight="1">
      <c r="A740" s="18"/>
      <c r="B740" s="19"/>
      <c r="C740" s="2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spans="1:20" ht="14.25" customHeight="1">
      <c r="A741" s="18"/>
      <c r="B741" s="19"/>
      <c r="C741" s="2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spans="1:20" ht="14.25" customHeight="1">
      <c r="A742" s="18"/>
      <c r="B742" s="19"/>
      <c r="C742" s="2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spans="1:20" ht="14.25" customHeight="1">
      <c r="A743" s="18"/>
      <c r="B743" s="19"/>
      <c r="C743" s="2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spans="1:20" ht="14.25" customHeight="1">
      <c r="A744" s="18"/>
      <c r="B744" s="19"/>
      <c r="C744" s="2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spans="1:20" ht="14.25" customHeight="1">
      <c r="A745" s="18"/>
      <c r="B745" s="19"/>
      <c r="C745" s="2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spans="1:20" ht="14.25" customHeight="1">
      <c r="A746" s="18"/>
      <c r="B746" s="19"/>
      <c r="C746" s="2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spans="1:20" ht="14.25" customHeight="1">
      <c r="A747" s="18"/>
      <c r="B747" s="19"/>
      <c r="C747" s="2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spans="1:20" ht="14.25" customHeight="1">
      <c r="A748" s="18"/>
      <c r="B748" s="19"/>
      <c r="C748" s="2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spans="1:20" ht="14.25" customHeight="1">
      <c r="A749" s="18"/>
      <c r="B749" s="19"/>
      <c r="C749" s="2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spans="1:20" ht="14.25" customHeight="1">
      <c r="A750" s="18"/>
      <c r="B750" s="19"/>
      <c r="C750" s="2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spans="1:20" ht="14.25" customHeight="1">
      <c r="A751" s="18"/>
      <c r="B751" s="19"/>
      <c r="C751" s="2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spans="1:20" ht="14.25" customHeight="1">
      <c r="A752" s="18"/>
      <c r="B752" s="19"/>
      <c r="C752" s="2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spans="1:20" ht="14.25" customHeight="1">
      <c r="A753" s="18"/>
      <c r="B753" s="19"/>
      <c r="C753" s="2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spans="1:20" ht="14.25" customHeight="1">
      <c r="A754" s="18"/>
      <c r="B754" s="19"/>
      <c r="C754" s="2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spans="1:20" ht="14.25" customHeight="1">
      <c r="A755" s="18"/>
      <c r="B755" s="19"/>
      <c r="C755" s="2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spans="1:20" ht="14.25" customHeight="1">
      <c r="A756" s="18"/>
      <c r="B756" s="19"/>
      <c r="C756" s="2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spans="1:20" ht="14.25" customHeight="1">
      <c r="A757" s="18"/>
      <c r="B757" s="19"/>
      <c r="C757" s="2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spans="1:20" ht="14.25" customHeight="1">
      <c r="A758" s="18"/>
      <c r="B758" s="19"/>
      <c r="C758" s="2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spans="1:20" ht="14.25" customHeight="1">
      <c r="A759" s="18"/>
      <c r="B759" s="19"/>
      <c r="C759" s="2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spans="1:20" ht="14.25" customHeight="1">
      <c r="A760" s="18"/>
      <c r="B760" s="19"/>
      <c r="C760" s="2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spans="1:20" ht="14.25" customHeight="1">
      <c r="A761" s="18"/>
      <c r="B761" s="19"/>
      <c r="C761" s="2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spans="1:20" ht="14.25" customHeight="1">
      <c r="A762" s="18"/>
      <c r="B762" s="19"/>
      <c r="C762" s="2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spans="1:20" ht="14.25" customHeight="1">
      <c r="A763" s="18"/>
      <c r="B763" s="19"/>
      <c r="C763" s="2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spans="1:20" ht="14.25" customHeight="1">
      <c r="A764" s="18"/>
      <c r="B764" s="19"/>
      <c r="C764" s="2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spans="1:20" ht="14.25" customHeight="1">
      <c r="A765" s="18"/>
      <c r="B765" s="19"/>
      <c r="C765" s="2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spans="1:20" ht="14.25" customHeight="1">
      <c r="A766" s="18"/>
      <c r="B766" s="19"/>
      <c r="C766" s="2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spans="1:20" ht="14.25" customHeight="1">
      <c r="A767" s="18"/>
      <c r="B767" s="19"/>
      <c r="C767" s="2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spans="1:20" ht="14.25" customHeight="1">
      <c r="A768" s="18"/>
      <c r="B768" s="19"/>
      <c r="C768" s="2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spans="1:20" ht="14.25" customHeight="1">
      <c r="A769" s="18"/>
      <c r="B769" s="19"/>
      <c r="C769" s="2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spans="1:20" ht="14.25" customHeight="1">
      <c r="A770" s="18"/>
      <c r="B770" s="19"/>
      <c r="C770" s="2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spans="1:20" ht="14.25" customHeight="1">
      <c r="A771" s="18"/>
      <c r="B771" s="19"/>
      <c r="C771" s="2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spans="1:20" ht="14.25" customHeight="1">
      <c r="A772" s="18"/>
      <c r="B772" s="19"/>
      <c r="C772" s="2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spans="1:20" ht="14.25" customHeight="1">
      <c r="A773" s="18"/>
      <c r="B773" s="19"/>
      <c r="C773" s="2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spans="1:20" ht="14.25" customHeight="1">
      <c r="A774" s="18"/>
      <c r="B774" s="19"/>
      <c r="C774" s="2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spans="1:20" ht="14.25" customHeight="1">
      <c r="A775" s="18"/>
      <c r="B775" s="19"/>
      <c r="C775" s="2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spans="1:20" ht="14.25" customHeight="1">
      <c r="A776" s="18"/>
      <c r="B776" s="19"/>
      <c r="C776" s="2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spans="1:20" ht="14.25" customHeight="1">
      <c r="A777" s="18"/>
      <c r="B777" s="19"/>
      <c r="C777" s="2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spans="1:20" ht="14.25" customHeight="1">
      <c r="A778" s="18"/>
      <c r="B778" s="19"/>
      <c r="C778" s="2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spans="1:20" ht="14.25" customHeight="1">
      <c r="A779" s="18"/>
      <c r="B779" s="19"/>
      <c r="C779" s="2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spans="1:20" ht="14.25" customHeight="1">
      <c r="A780" s="18"/>
      <c r="B780" s="19"/>
      <c r="C780" s="2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spans="1:20" ht="14.25" customHeight="1">
      <c r="A781" s="18"/>
      <c r="B781" s="19"/>
      <c r="C781" s="2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spans="1:20" ht="14.25" customHeight="1">
      <c r="A782" s="18"/>
      <c r="B782" s="19"/>
      <c r="C782" s="2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spans="1:20" ht="14.25" customHeight="1">
      <c r="A783" s="18"/>
      <c r="B783" s="19"/>
      <c r="C783" s="2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spans="1:20" ht="14.25" customHeight="1">
      <c r="A784" s="18"/>
      <c r="B784" s="19"/>
      <c r="C784" s="2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spans="1:20" ht="14.25" customHeight="1">
      <c r="A785" s="18"/>
      <c r="B785" s="19"/>
      <c r="C785" s="2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spans="1:20" ht="14.25" customHeight="1">
      <c r="A786" s="18"/>
      <c r="B786" s="19"/>
      <c r="C786" s="2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spans="1:20" ht="14.25" customHeight="1">
      <c r="A787" s="18"/>
      <c r="B787" s="19"/>
      <c r="C787" s="2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spans="1:20" ht="14.25" customHeight="1">
      <c r="A788" s="18"/>
      <c r="B788" s="19"/>
      <c r="C788" s="2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spans="1:20" ht="14.25" customHeight="1">
      <c r="A789" s="18"/>
      <c r="B789" s="19"/>
      <c r="C789" s="2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spans="1:20" ht="14.25" customHeight="1">
      <c r="A790" s="18"/>
      <c r="B790" s="19"/>
      <c r="C790" s="2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spans="1:20" ht="14.25" customHeight="1">
      <c r="A791" s="18"/>
      <c r="B791" s="19"/>
      <c r="C791" s="2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spans="1:20" ht="14.25" customHeight="1">
      <c r="A792" s="18"/>
      <c r="B792" s="19"/>
      <c r="C792" s="2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spans="1:20" ht="14.25" customHeight="1">
      <c r="A793" s="18"/>
      <c r="B793" s="19"/>
      <c r="C793" s="2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spans="1:20" ht="14.25" customHeight="1">
      <c r="A794" s="18"/>
      <c r="B794" s="19"/>
      <c r="C794" s="2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spans="1:20" ht="14.25" customHeight="1">
      <c r="A795" s="18"/>
      <c r="B795" s="19"/>
      <c r="C795" s="2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spans="1:20" ht="14.25" customHeight="1">
      <c r="A796" s="18"/>
      <c r="B796" s="19"/>
      <c r="C796" s="2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spans="1:20" ht="14.25" customHeight="1">
      <c r="A797" s="18"/>
      <c r="B797" s="19"/>
      <c r="C797" s="2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spans="1:20" ht="14.25" customHeight="1">
      <c r="A798" s="18"/>
      <c r="B798" s="19"/>
      <c r="C798" s="2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spans="1:20" ht="14.25" customHeight="1">
      <c r="A799" s="18"/>
      <c r="B799" s="19"/>
      <c r="C799" s="2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spans="1:20" ht="14.25" customHeight="1">
      <c r="A800" s="18"/>
      <c r="B800" s="19"/>
      <c r="C800" s="2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spans="1:20" ht="14.25" customHeight="1">
      <c r="A801" s="18"/>
      <c r="B801" s="19"/>
      <c r="C801" s="2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spans="1:20" ht="14.25" customHeight="1">
      <c r="A802" s="18"/>
      <c r="B802" s="19"/>
      <c r="C802" s="2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spans="1:20" ht="14.25" customHeight="1">
      <c r="A803" s="18"/>
      <c r="B803" s="19"/>
      <c r="C803" s="2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spans="1:20" ht="14.25" customHeight="1">
      <c r="A804" s="18"/>
      <c r="B804" s="19"/>
      <c r="C804" s="2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spans="1:20" ht="14.25" customHeight="1">
      <c r="A805" s="18"/>
      <c r="B805" s="19"/>
      <c r="C805" s="2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spans="1:20" ht="14.25" customHeight="1">
      <c r="A806" s="18"/>
      <c r="B806" s="19"/>
      <c r="C806" s="2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spans="1:20" ht="14.25" customHeight="1">
      <c r="A807" s="18"/>
      <c r="B807" s="19"/>
      <c r="C807" s="2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spans="1:20" ht="14.25" customHeight="1">
      <c r="A808" s="18"/>
      <c r="B808" s="19"/>
      <c r="C808" s="2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spans="1:20" ht="14.25" customHeight="1">
      <c r="A809" s="18"/>
      <c r="B809" s="19"/>
      <c r="C809" s="2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spans="1:20" ht="14.25" customHeight="1">
      <c r="A810" s="18"/>
      <c r="B810" s="19"/>
      <c r="C810" s="2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spans="1:20" ht="14.25" customHeight="1">
      <c r="A811" s="18"/>
      <c r="B811" s="19"/>
      <c r="C811" s="2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spans="1:20" ht="14.25" customHeight="1">
      <c r="A812" s="18"/>
      <c r="B812" s="19"/>
      <c r="C812" s="2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spans="1:20" ht="14.25" customHeight="1">
      <c r="A813" s="18"/>
      <c r="B813" s="19"/>
      <c r="C813" s="2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spans="1:20" ht="14.25" customHeight="1">
      <c r="A814" s="18"/>
      <c r="B814" s="19"/>
      <c r="C814" s="2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spans="1:20" ht="14.25" customHeight="1">
      <c r="A815" s="18"/>
      <c r="B815" s="19"/>
      <c r="C815" s="2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spans="1:20" ht="14.25" customHeight="1">
      <c r="A816" s="18"/>
      <c r="B816" s="19"/>
      <c r="C816" s="2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spans="1:20" ht="14.25" customHeight="1">
      <c r="A817" s="18"/>
      <c r="B817" s="19"/>
      <c r="C817" s="2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spans="1:20" ht="14.25" customHeight="1">
      <c r="A818" s="18"/>
      <c r="B818" s="19"/>
      <c r="C818" s="2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spans="1:20" ht="14.25" customHeight="1">
      <c r="A819" s="18"/>
      <c r="B819" s="19"/>
      <c r="C819" s="2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spans="1:20" ht="14.25" customHeight="1">
      <c r="A820" s="18"/>
      <c r="B820" s="19"/>
      <c r="C820" s="2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spans="1:20" ht="14.25" customHeight="1">
      <c r="A821" s="18"/>
      <c r="B821" s="19"/>
      <c r="C821" s="2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spans="1:20" ht="14.25" customHeight="1">
      <c r="A822" s="18"/>
      <c r="B822" s="19"/>
      <c r="C822" s="2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spans="1:20" ht="14.25" customHeight="1">
      <c r="A823" s="18"/>
      <c r="B823" s="19"/>
      <c r="C823" s="2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spans="1:20" ht="14.25" customHeight="1">
      <c r="A824" s="18"/>
      <c r="B824" s="19"/>
      <c r="C824" s="2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spans="1:20" ht="14.25" customHeight="1">
      <c r="A825" s="18"/>
      <c r="B825" s="19"/>
      <c r="C825" s="2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spans="1:20" ht="14.25" customHeight="1">
      <c r="A826" s="18"/>
      <c r="B826" s="19"/>
      <c r="C826" s="2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spans="1:20" ht="14.25" customHeight="1">
      <c r="A827" s="18"/>
      <c r="B827" s="19"/>
      <c r="C827" s="2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spans="1:20" ht="14.25" customHeight="1">
      <c r="A828" s="18"/>
      <c r="B828" s="19"/>
      <c r="C828" s="2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spans="1:20" ht="14.25" customHeight="1">
      <c r="A829" s="18"/>
      <c r="B829" s="19"/>
      <c r="C829" s="2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spans="1:20" ht="14.25" customHeight="1">
      <c r="A830" s="18"/>
      <c r="B830" s="19"/>
      <c r="C830" s="2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spans="1:20" ht="14.25" customHeight="1">
      <c r="A831" s="18"/>
      <c r="B831" s="19"/>
      <c r="C831" s="2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spans="1:20" ht="14.25" customHeight="1">
      <c r="A832" s="18"/>
      <c r="B832" s="19"/>
      <c r="C832" s="2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spans="1:20" ht="14.25" customHeight="1">
      <c r="A833" s="18"/>
      <c r="B833" s="19"/>
      <c r="C833" s="2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spans="1:20" ht="14.25" customHeight="1">
      <c r="A834" s="18"/>
      <c r="B834" s="19"/>
      <c r="C834" s="2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spans="1:20" ht="14.25" customHeight="1">
      <c r="A835" s="18"/>
      <c r="B835" s="19"/>
      <c r="C835" s="2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spans="1:20" ht="14.25" customHeight="1">
      <c r="A836" s="18"/>
      <c r="B836" s="19"/>
      <c r="C836" s="2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spans="1:20" ht="14.25" customHeight="1">
      <c r="A837" s="18"/>
      <c r="B837" s="19"/>
      <c r="C837" s="2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spans="1:20" ht="14.25" customHeight="1">
      <c r="A838" s="18"/>
      <c r="B838" s="19"/>
      <c r="C838" s="2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spans="1:20" ht="14.25" customHeight="1">
      <c r="A839" s="18"/>
      <c r="B839" s="19"/>
      <c r="C839" s="2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spans="1:20" ht="14.25" customHeight="1">
      <c r="A840" s="18"/>
      <c r="B840" s="19"/>
      <c r="C840" s="2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spans="1:20" ht="14.25" customHeight="1">
      <c r="A841" s="18"/>
      <c r="B841" s="19"/>
      <c r="C841" s="2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spans="1:20" ht="14.25" customHeight="1">
      <c r="A842" s="18"/>
      <c r="B842" s="19"/>
      <c r="C842" s="2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spans="1:20" ht="14.25" customHeight="1">
      <c r="A843" s="18"/>
      <c r="B843" s="19"/>
      <c r="C843" s="2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spans="1:20" ht="14.25" customHeight="1">
      <c r="A844" s="18"/>
      <c r="B844" s="19"/>
      <c r="C844" s="2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spans="1:20" ht="14.25" customHeight="1">
      <c r="A845" s="18"/>
      <c r="B845" s="19"/>
      <c r="C845" s="2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spans="1:20" ht="14.25" customHeight="1">
      <c r="A846" s="18"/>
      <c r="B846" s="19"/>
      <c r="C846" s="2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spans="1:20" ht="14.25" customHeight="1">
      <c r="A847" s="18"/>
      <c r="B847" s="19"/>
      <c r="C847" s="2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spans="1:20" ht="14.25" customHeight="1">
      <c r="A848" s="18"/>
      <c r="B848" s="19"/>
      <c r="C848" s="2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spans="1:20" ht="14.25" customHeight="1">
      <c r="A849" s="18"/>
      <c r="B849" s="19"/>
      <c r="C849" s="2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spans="1:20" ht="14.25" customHeight="1">
      <c r="A850" s="18"/>
      <c r="B850" s="19"/>
      <c r="C850" s="2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spans="1:20" ht="14.25" customHeight="1">
      <c r="A851" s="18"/>
      <c r="B851" s="19"/>
      <c r="C851" s="2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spans="1:20" ht="14.25" customHeight="1">
      <c r="A852" s="18"/>
      <c r="B852" s="19"/>
      <c r="C852" s="2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spans="1:20" ht="14.25" customHeight="1">
      <c r="A853" s="18"/>
      <c r="B853" s="19"/>
      <c r="C853" s="2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spans="1:20" ht="14.25" customHeight="1">
      <c r="A854" s="18"/>
      <c r="B854" s="19"/>
      <c r="C854" s="2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spans="1:20" ht="14.25" customHeight="1">
      <c r="A855" s="18"/>
      <c r="B855" s="19"/>
      <c r="C855" s="2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spans="1:20" ht="14.25" customHeight="1">
      <c r="A856" s="18"/>
      <c r="B856" s="19"/>
      <c r="C856" s="2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spans="1:20" ht="14.25" customHeight="1">
      <c r="A857" s="18"/>
      <c r="B857" s="19"/>
      <c r="C857" s="2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spans="1:20" ht="14.25" customHeight="1">
      <c r="A858" s="18"/>
      <c r="B858" s="19"/>
      <c r="C858" s="2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spans="1:20" ht="14.25" customHeight="1">
      <c r="A859" s="18"/>
      <c r="B859" s="19"/>
      <c r="C859" s="2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spans="1:20" ht="14.25" customHeight="1">
      <c r="A860" s="18"/>
      <c r="B860" s="19"/>
      <c r="C860" s="2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spans="1:20" ht="14.25" customHeight="1">
      <c r="A861" s="18"/>
      <c r="B861" s="19"/>
      <c r="C861" s="2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spans="1:20" ht="14.25" customHeight="1">
      <c r="A862" s="18"/>
      <c r="B862" s="19"/>
      <c r="C862" s="2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spans="1:20" ht="14.25" customHeight="1">
      <c r="A863" s="18"/>
      <c r="B863" s="19"/>
      <c r="C863" s="2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spans="1:20" ht="14.25" customHeight="1">
      <c r="A864" s="18"/>
      <c r="B864" s="19"/>
      <c r="C864" s="2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spans="1:20" ht="14.25" customHeight="1">
      <c r="A865" s="18"/>
      <c r="B865" s="19"/>
      <c r="C865" s="2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spans="1:20" ht="14.25" customHeight="1">
      <c r="A866" s="18"/>
      <c r="B866" s="19"/>
      <c r="C866" s="20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spans="1:20" ht="14.25" customHeight="1">
      <c r="A867" s="18"/>
      <c r="B867" s="19"/>
      <c r="C867" s="20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spans="1:20" ht="14.25" customHeight="1">
      <c r="A868" s="18"/>
      <c r="B868" s="19"/>
      <c r="C868" s="20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spans="1:20" ht="14.25" customHeight="1">
      <c r="A869" s="18"/>
      <c r="B869" s="19"/>
      <c r="C869" s="20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spans="1:20" ht="14.25" customHeight="1">
      <c r="A870" s="18"/>
      <c r="B870" s="19"/>
      <c r="C870" s="20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spans="1:20" ht="14.25" customHeight="1">
      <c r="A871" s="18"/>
      <c r="B871" s="19"/>
      <c r="C871" s="20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spans="1:20" ht="14.25" customHeight="1">
      <c r="A872" s="18"/>
      <c r="B872" s="19"/>
      <c r="C872" s="20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spans="1:20" ht="14.25" customHeight="1">
      <c r="A873" s="18"/>
      <c r="B873" s="19"/>
      <c r="C873" s="20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spans="1:20" ht="14.25" customHeight="1">
      <c r="A874" s="18"/>
      <c r="B874" s="19"/>
      <c r="C874" s="20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spans="1:20" ht="14.25" customHeight="1">
      <c r="A875" s="18"/>
      <c r="B875" s="19"/>
      <c r="C875" s="20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spans="1:20" ht="14.25" customHeight="1">
      <c r="A876" s="18"/>
      <c r="B876" s="19"/>
      <c r="C876" s="20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spans="1:20" ht="14.25" customHeight="1">
      <c r="A877" s="18"/>
      <c r="B877" s="19"/>
      <c r="C877" s="20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spans="1:20" ht="14.25" customHeight="1">
      <c r="A878" s="18"/>
      <c r="B878" s="19"/>
      <c r="C878" s="20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spans="1:20" ht="14.25" customHeight="1">
      <c r="A879" s="18"/>
      <c r="B879" s="19"/>
      <c r="C879" s="20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spans="1:20" ht="14.25" customHeight="1">
      <c r="A880" s="18"/>
      <c r="B880" s="19"/>
      <c r="C880" s="20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spans="1:20" ht="14.25" customHeight="1">
      <c r="A881" s="18"/>
      <c r="B881" s="19"/>
      <c r="C881" s="20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spans="1:20" ht="14.25" customHeight="1">
      <c r="A882" s="18"/>
      <c r="B882" s="19"/>
      <c r="C882" s="20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spans="1:20" ht="14.25" customHeight="1">
      <c r="A883" s="18"/>
      <c r="B883" s="19"/>
      <c r="C883" s="20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spans="1:20" ht="14.25" customHeight="1">
      <c r="A884" s="18"/>
      <c r="B884" s="19"/>
      <c r="C884" s="20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spans="1:20" ht="14.25" customHeight="1">
      <c r="A885" s="18"/>
      <c r="B885" s="19"/>
      <c r="C885" s="20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spans="1:20" ht="14.25" customHeight="1">
      <c r="A886" s="18"/>
      <c r="B886" s="19"/>
      <c r="C886" s="20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spans="1:20" ht="14.25" customHeight="1">
      <c r="A887" s="18"/>
      <c r="B887" s="19"/>
      <c r="C887" s="20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spans="1:20" ht="14.25" customHeight="1">
      <c r="A888" s="18"/>
      <c r="B888" s="19"/>
      <c r="C888" s="20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spans="1:20" ht="14.25" customHeight="1">
      <c r="A889" s="18"/>
      <c r="B889" s="19"/>
      <c r="C889" s="20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spans="1:20" ht="14.25" customHeight="1">
      <c r="A890" s="18"/>
      <c r="B890" s="19"/>
      <c r="C890" s="20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spans="1:20" ht="14.25" customHeight="1">
      <c r="A891" s="18"/>
      <c r="B891" s="19"/>
      <c r="C891" s="20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spans="1:20" ht="14.25" customHeight="1">
      <c r="A892" s="18"/>
      <c r="B892" s="19"/>
      <c r="C892" s="20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spans="1:20" ht="14.25" customHeight="1">
      <c r="A893" s="18"/>
      <c r="B893" s="19"/>
      <c r="C893" s="20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spans="1:20" ht="14.25" customHeight="1">
      <c r="A894" s="18"/>
      <c r="B894" s="19"/>
      <c r="C894" s="20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spans="1:20" ht="14.25" customHeight="1">
      <c r="A895" s="18"/>
      <c r="B895" s="19"/>
      <c r="C895" s="20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spans="1:20" ht="14.25" customHeight="1">
      <c r="A896" s="18"/>
      <c r="B896" s="19"/>
      <c r="C896" s="20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spans="1:20" ht="14.25" customHeight="1">
      <c r="A897" s="18"/>
      <c r="B897" s="19"/>
      <c r="C897" s="20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spans="1:20" ht="14.25" customHeight="1">
      <c r="A898" s="18"/>
      <c r="B898" s="19"/>
      <c r="C898" s="20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spans="1:20" ht="14.25" customHeight="1">
      <c r="A899" s="18"/>
      <c r="B899" s="19"/>
      <c r="C899" s="20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spans="1:20" ht="14.25" customHeight="1">
      <c r="A900" s="18"/>
      <c r="B900" s="19"/>
      <c r="C900" s="20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spans="1:20" ht="14.25" customHeight="1">
      <c r="A901" s="18"/>
      <c r="B901" s="19"/>
      <c r="C901" s="20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spans="1:20" ht="14.25" customHeight="1">
      <c r="A902" s="18"/>
      <c r="B902" s="19"/>
      <c r="C902" s="20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spans="1:20" ht="14.25" customHeight="1">
      <c r="A903" s="18"/>
      <c r="B903" s="19"/>
      <c r="C903" s="20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spans="1:20" ht="14.25" customHeight="1">
      <c r="A904" s="18"/>
      <c r="B904" s="19"/>
      <c r="C904" s="20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spans="1:20" ht="14.25" customHeight="1">
      <c r="A905" s="18"/>
      <c r="B905" s="19"/>
      <c r="C905" s="20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spans="1:20" ht="14.25" customHeight="1">
      <c r="A906" s="18"/>
      <c r="B906" s="19"/>
      <c r="C906" s="20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spans="1:20" ht="14.25" customHeight="1">
      <c r="A907" s="18"/>
      <c r="B907" s="19"/>
      <c r="C907" s="20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spans="1:20" ht="14.25" customHeight="1">
      <c r="A908" s="18"/>
      <c r="B908" s="19"/>
      <c r="C908" s="20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spans="1:20" ht="14.25" customHeight="1">
      <c r="A909" s="18"/>
      <c r="B909" s="19"/>
      <c r="C909" s="20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spans="1:20" ht="14.25" customHeight="1">
      <c r="A910" s="18"/>
      <c r="B910" s="19"/>
      <c r="C910" s="20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spans="1:20" ht="14.25" customHeight="1">
      <c r="A911" s="18"/>
      <c r="B911" s="19"/>
      <c r="C911" s="20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spans="1:20" ht="14.25" customHeight="1">
      <c r="A912" s="18"/>
      <c r="B912" s="19"/>
      <c r="C912" s="20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spans="1:20" ht="14.25" customHeight="1">
      <c r="A913" s="18"/>
      <c r="B913" s="19"/>
      <c r="C913" s="20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spans="1:20" ht="14.25" customHeight="1">
      <c r="A914" s="18"/>
      <c r="B914" s="19"/>
      <c r="C914" s="20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spans="1:20" ht="14.25" customHeight="1">
      <c r="A915" s="18"/>
      <c r="B915" s="19"/>
      <c r="C915" s="20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spans="1:20" ht="14.25" customHeight="1">
      <c r="A916" s="18"/>
      <c r="B916" s="19"/>
      <c r="C916" s="20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spans="1:20" ht="14.25" customHeight="1">
      <c r="A917" s="18"/>
      <c r="B917" s="19"/>
      <c r="C917" s="20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spans="1:20" ht="14.25" customHeight="1">
      <c r="A918" s="18"/>
      <c r="B918" s="19"/>
      <c r="C918" s="20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spans="1:20" ht="14.25" customHeight="1">
      <c r="A919" s="18"/>
      <c r="B919" s="19"/>
      <c r="C919" s="20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spans="1:20" ht="14.25" customHeight="1">
      <c r="A920" s="18"/>
      <c r="B920" s="19"/>
      <c r="C920" s="20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spans="1:20" ht="14.25" customHeight="1">
      <c r="A921" s="18"/>
      <c r="B921" s="19"/>
      <c r="C921" s="20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spans="1:20" ht="14.25" customHeight="1">
      <c r="A922" s="18"/>
      <c r="B922" s="19"/>
      <c r="C922" s="20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spans="1:20" ht="14.25" customHeight="1">
      <c r="A923" s="18"/>
      <c r="B923" s="19"/>
      <c r="C923" s="20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spans="1:20" ht="14.25" customHeight="1">
      <c r="A924" s="18"/>
      <c r="B924" s="19"/>
      <c r="C924" s="20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spans="1:20" ht="14.25" customHeight="1">
      <c r="A925" s="18"/>
      <c r="B925" s="19"/>
      <c r="C925" s="20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spans="1:20" ht="14.25" customHeight="1">
      <c r="A926" s="18"/>
      <c r="B926" s="19"/>
      <c r="C926" s="20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spans="1:20" ht="14.25" customHeight="1">
      <c r="A927" s="18"/>
      <c r="B927" s="19"/>
      <c r="C927" s="20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spans="1:20" ht="14.25" customHeight="1">
      <c r="A928" s="18"/>
      <c r="B928" s="19"/>
      <c r="C928" s="20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spans="1:20" ht="14.25" customHeight="1">
      <c r="A929" s="18"/>
      <c r="B929" s="19"/>
      <c r="C929" s="20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spans="1:20" ht="14.25" customHeight="1">
      <c r="A930" s="18"/>
      <c r="B930" s="19"/>
      <c r="C930" s="20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spans="1:20" ht="14.25" customHeight="1">
      <c r="A931" s="18"/>
      <c r="B931" s="19"/>
      <c r="C931" s="20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spans="1:20" ht="14.25" customHeight="1">
      <c r="A932" s="18"/>
      <c r="B932" s="19"/>
      <c r="C932" s="20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spans="1:20" ht="14.25" customHeight="1">
      <c r="A933" s="18"/>
      <c r="B933" s="19"/>
      <c r="C933" s="20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spans="1:20" ht="14.25" customHeight="1">
      <c r="A934" s="18"/>
      <c r="B934" s="19"/>
      <c r="C934" s="20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spans="1:20" ht="14.25" customHeight="1">
      <c r="A935" s="18"/>
      <c r="B935" s="19"/>
      <c r="C935" s="20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spans="1:20" ht="14.25" customHeight="1">
      <c r="A936" s="18"/>
      <c r="B936" s="19"/>
      <c r="C936" s="20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spans="1:20" ht="14.25" customHeight="1">
      <c r="A937" s="18"/>
      <c r="B937" s="19"/>
      <c r="C937" s="20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spans="1:20" ht="14.25" customHeight="1">
      <c r="A938" s="18"/>
      <c r="B938" s="19"/>
      <c r="C938" s="20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spans="1:20" ht="14.25" customHeight="1">
      <c r="A939" s="18"/>
      <c r="B939" s="19"/>
      <c r="C939" s="20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spans="1:20" ht="14.25" customHeight="1">
      <c r="A940" s="18"/>
      <c r="B940" s="19"/>
      <c r="C940" s="20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spans="1:20" ht="14.25" customHeight="1">
      <c r="A941" s="18"/>
      <c r="B941" s="19"/>
      <c r="C941" s="20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spans="1:20" ht="14.25" customHeight="1">
      <c r="A942" s="18"/>
      <c r="B942" s="19"/>
      <c r="C942" s="20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spans="1:20" ht="14.25" customHeight="1">
      <c r="A943" s="18"/>
      <c r="B943" s="19"/>
      <c r="C943" s="20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spans="1:20" ht="14.25" customHeight="1">
      <c r="A944" s="18"/>
      <c r="B944" s="19"/>
      <c r="C944" s="20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spans="1:20" ht="14.25" customHeight="1">
      <c r="A945" s="18"/>
      <c r="B945" s="19"/>
      <c r="C945" s="20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spans="1:20" ht="14.25" customHeight="1">
      <c r="A946" s="18"/>
      <c r="B946" s="19"/>
      <c r="C946" s="20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spans="1:20" ht="14.25" customHeight="1">
      <c r="A947" s="18"/>
      <c r="B947" s="19"/>
      <c r="C947" s="20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spans="1:20" ht="14.25" customHeight="1">
      <c r="A948" s="18"/>
      <c r="B948" s="19"/>
      <c r="C948" s="20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spans="1:20" ht="14.25" customHeight="1">
      <c r="A949" s="18"/>
      <c r="B949" s="19"/>
      <c r="C949" s="20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spans="1:20" ht="14.25" customHeight="1">
      <c r="A950" s="18"/>
      <c r="B950" s="19"/>
      <c r="C950" s="20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spans="1:20" ht="14.25" customHeight="1">
      <c r="A951" s="18"/>
      <c r="B951" s="19"/>
      <c r="C951" s="20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spans="1:20" ht="14.25" customHeight="1">
      <c r="A952" s="18"/>
      <c r="B952" s="19"/>
      <c r="C952" s="20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spans="1:20" ht="14.25" customHeight="1">
      <c r="A953" s="18"/>
      <c r="B953" s="19"/>
      <c r="C953" s="20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spans="1:20" ht="14.25" customHeight="1">
      <c r="A954" s="18"/>
      <c r="B954" s="19"/>
      <c r="C954" s="20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spans="1:20" ht="14.25" customHeight="1">
      <c r="A955" s="18"/>
      <c r="B955" s="19"/>
      <c r="C955" s="20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spans="1:20" ht="14.25" customHeight="1">
      <c r="A956" s="18"/>
      <c r="B956" s="19"/>
      <c r="C956" s="20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spans="1:20" ht="14.25" customHeight="1">
      <c r="A957" s="18"/>
      <c r="B957" s="19"/>
      <c r="C957" s="20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spans="1:20" ht="14.25" customHeight="1">
      <c r="A958" s="18"/>
      <c r="B958" s="19"/>
      <c r="C958" s="20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</sheetData>
  <pageMargins left="0.7" right="0.7" top="0.78740157499999996" bottom="0.78740157499999996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N22"/>
  <sheetViews>
    <sheetView zoomScaleNormal="100" workbookViewId="0">
      <selection activeCell="B14" sqref="B14"/>
    </sheetView>
  </sheetViews>
  <sheetFormatPr baseColWidth="10" defaultColWidth="14.42578125" defaultRowHeight="15" customHeight="1"/>
  <cols>
    <col min="1" max="1" width="17.42578125" customWidth="1"/>
    <col min="2" max="2" width="16.42578125" customWidth="1"/>
    <col min="3" max="3" width="18.140625" customWidth="1"/>
    <col min="4" max="4" width="16.42578125" customWidth="1"/>
    <col min="5" max="6" width="13.42578125" customWidth="1"/>
    <col min="7" max="7" width="26.42578125" customWidth="1"/>
    <col min="8" max="9" width="13.42578125" customWidth="1"/>
    <col min="10" max="10" width="96.42578125" bestFit="1" customWidth="1"/>
    <col min="11" max="11" width="22" customWidth="1"/>
    <col min="12" max="12" width="14.42578125" customWidth="1"/>
    <col min="13" max="13" width="20.28515625" customWidth="1"/>
  </cols>
  <sheetData>
    <row r="1" spans="1:14">
      <c r="A1" s="21"/>
      <c r="B1" s="22" t="s">
        <v>34</v>
      </c>
      <c r="C1" s="22" t="s">
        <v>35</v>
      </c>
      <c r="D1" s="22" t="s">
        <v>36</v>
      </c>
      <c r="E1" s="22" t="s">
        <v>37</v>
      </c>
      <c r="F1" s="22" t="s">
        <v>38</v>
      </c>
      <c r="G1" s="22" t="s">
        <v>39</v>
      </c>
      <c r="H1" s="22" t="s">
        <v>40</v>
      </c>
      <c r="I1" s="22" t="s">
        <v>41</v>
      </c>
      <c r="J1" s="22" t="s">
        <v>42</v>
      </c>
      <c r="K1" s="46"/>
      <c r="L1" s="46"/>
    </row>
    <row r="2" spans="1:14">
      <c r="A2" s="23" t="s">
        <v>43</v>
      </c>
      <c r="B2" s="91" t="s">
        <v>44</v>
      </c>
      <c r="C2" s="92">
        <f>'Prämie - Roland'!B25</f>
        <v>0</v>
      </c>
      <c r="D2" s="92" t="str">
        <f>'Prämie - Roland'!C25</f>
        <v/>
      </c>
      <c r="E2" s="92" t="str">
        <f ca="1">IF(G2&lt;&gt;OfferReferralNoPremium,IF(ISNUMBER('Prämie - Roland'!D25),ROUND('Prämie - Roland'!D25,2),""),"")</f>
        <v/>
      </c>
      <c r="F2" s="91" t="str">
        <f>TEXT(5,"5")</f>
        <v>5</v>
      </c>
      <c r="G2" s="91" t="str">
        <f ca="1">Referrals!G40</f>
        <v>OFFER_REFERRAL_NO_PREMIUM</v>
      </c>
      <c r="H2" s="93">
        <f>ROUND('Prämie - Roland'!E25,2)</f>
        <v>0.4</v>
      </c>
      <c r="I2" s="93">
        <f>ROUND('Prämie - Roland'!F25,2)</f>
        <v>0</v>
      </c>
      <c r="J2" s="93" t="str">
        <f>Referrals!F$37</f>
        <v>,hpst_geltungsbereich_2:hpst_rol-2,hpst_kartellrecht:group-hpst-1</v>
      </c>
      <c r="K2" s="180"/>
      <c r="L2" s="180"/>
    </row>
    <row r="3" spans="1:14">
      <c r="A3" s="23" t="s">
        <v>45</v>
      </c>
      <c r="B3" s="91" t="s">
        <v>44</v>
      </c>
      <c r="C3" s="92">
        <f>'Prämie - Roland'!B25</f>
        <v>0</v>
      </c>
      <c r="D3" s="137"/>
      <c r="E3" s="92" t="str">
        <f ca="1">IF(G3&lt;&gt;OfferReferralNoPremium,IF(ISNUMBER('Prämie - Roland'!D26),ROUND('Prämie - Roland'!D26,2),""),"")</f>
        <v/>
      </c>
      <c r="F3" s="91" t="str">
        <f t="shared" ref="F3:F7" si="0">TEXT(5,"5")</f>
        <v>5</v>
      </c>
      <c r="G3" s="91" t="str">
        <f ca="1">Referrals!G41</f>
        <v>OFFER_REFERRAL_NO_PREMIUM</v>
      </c>
      <c r="H3" s="93">
        <f>ROUND('Prämie - Roland'!E26,2)</f>
        <v>0.4</v>
      </c>
      <c r="I3" s="93">
        <f>ROUND('Prämie - Roland'!F26,2)</f>
        <v>0</v>
      </c>
      <c r="J3" s="93" t="str">
        <f>Referrals!F$37</f>
        <v>,hpst_geltungsbereich_2:hpst_rol-2,hpst_kartellrecht:group-hpst-1</v>
      </c>
      <c r="K3" s="180"/>
      <c r="L3" s="180"/>
    </row>
    <row r="4" spans="1:14">
      <c r="A4" s="23" t="s">
        <v>46</v>
      </c>
      <c r="B4" s="91" t="s">
        <v>44</v>
      </c>
      <c r="C4" s="92">
        <f>'Prämie - Roland'!B27</f>
        <v>0</v>
      </c>
      <c r="D4" s="92" t="str">
        <f>'Prämie - Roland'!C27</f>
        <v/>
      </c>
      <c r="E4" s="92" t="str">
        <f ca="1">IF(G4&lt;&gt;OfferReferralNoPremium,IF(ISNUMBER('Prämie - Roland'!D27),ROUND('Prämie - Roland'!D27,2),""),"")</f>
        <v/>
      </c>
      <c r="F4" s="91" t="str">
        <f t="shared" si="0"/>
        <v>5</v>
      </c>
      <c r="G4" s="91" t="str">
        <f ca="1">Referrals!G42</f>
        <v>OFFER_REFERRAL_NO_PREMIUM</v>
      </c>
      <c r="H4" s="93">
        <f>ROUND('Prämie - Roland'!E27,2)</f>
        <v>0.4</v>
      </c>
      <c r="I4" s="93">
        <f>ROUND('Prämie - Roland'!F27,2)</f>
        <v>0</v>
      </c>
      <c r="J4" s="93" t="str">
        <f>Referrals!F$37</f>
        <v>,hpst_geltungsbereich_2:hpst_rol-2,hpst_kartellrecht:group-hpst-1</v>
      </c>
      <c r="K4" s="180"/>
      <c r="L4" s="180"/>
    </row>
    <row r="5" spans="1:14">
      <c r="A5" s="23" t="s">
        <v>47</v>
      </c>
      <c r="B5" s="91" t="s">
        <v>44</v>
      </c>
      <c r="C5" s="92">
        <f>'Prämie - Roland'!B27</f>
        <v>0</v>
      </c>
      <c r="D5" s="137"/>
      <c r="E5" s="92" t="str">
        <f ca="1">IF(G5&lt;&gt;OfferReferralNoPremium,IF(ISNUMBER('Prämie - Roland'!D28),ROUND('Prämie - Roland'!D28,2),""),"")</f>
        <v/>
      </c>
      <c r="F5" s="91" t="str">
        <f t="shared" si="0"/>
        <v>5</v>
      </c>
      <c r="G5" s="91" t="str">
        <f ca="1">Referrals!G43</f>
        <v>OFFER_REFERRAL_NO_PREMIUM</v>
      </c>
      <c r="H5" s="93">
        <f>ROUND('Prämie - Roland'!E28,2)</f>
        <v>0.4</v>
      </c>
      <c r="I5" s="93">
        <f>ROUND('Prämie - Roland'!F28,2)</f>
        <v>0</v>
      </c>
      <c r="J5" s="93" t="str">
        <f>Referrals!F$37</f>
        <v>,hpst_geltungsbereich_2:hpst_rol-2,hpst_kartellrecht:group-hpst-1</v>
      </c>
      <c r="K5" s="180"/>
      <c r="L5" s="180"/>
    </row>
    <row r="6" spans="1:14">
      <c r="A6" s="23" t="s">
        <v>48</v>
      </c>
      <c r="B6" s="91" t="s">
        <v>44</v>
      </c>
      <c r="C6" s="92">
        <f>'Prämie - Roland'!B29</f>
        <v>0</v>
      </c>
      <c r="D6" s="92" t="str">
        <f>'Prämie - Roland'!C29</f>
        <v/>
      </c>
      <c r="E6" s="92" t="str">
        <f ca="1">IF(G6&lt;&gt;OfferReferralNoPremium,IF(ISNUMBER('Prämie - Roland'!D29),ROUND('Prämie - Roland'!D29,2),""),"")</f>
        <v/>
      </c>
      <c r="F6" s="91" t="str">
        <f t="shared" si="0"/>
        <v>5</v>
      </c>
      <c r="G6" s="91" t="str">
        <f ca="1">Referrals!G44</f>
        <v>OFFER_REFERRAL_NO_PREMIUM</v>
      </c>
      <c r="H6" s="93">
        <f>ROUND('Prämie - Roland'!E29,2)</f>
        <v>0.4</v>
      </c>
      <c r="I6" s="93">
        <f>ROUND('Prämie - Roland'!F29,2)</f>
        <v>0</v>
      </c>
      <c r="J6" s="93" t="str">
        <f>Referrals!F$37</f>
        <v>,hpst_geltungsbereich_2:hpst_rol-2,hpst_kartellrecht:group-hpst-1</v>
      </c>
      <c r="K6" s="180"/>
      <c r="L6" s="180"/>
    </row>
    <row r="7" spans="1:14">
      <c r="A7" s="23" t="s">
        <v>49</v>
      </c>
      <c r="B7" s="91" t="s">
        <v>44</v>
      </c>
      <c r="C7" s="92">
        <f>'Prämie - Roland'!B29</f>
        <v>0</v>
      </c>
      <c r="D7" s="137"/>
      <c r="E7" s="92" t="str">
        <f ca="1">IF(G7&lt;&gt;OfferReferralNoPremium,IF(ISNUMBER('Prämie - Roland'!D30),ROUND('Prämie - Roland'!D30,2),""),"")</f>
        <v/>
      </c>
      <c r="F7" s="91" t="str">
        <f t="shared" si="0"/>
        <v>5</v>
      </c>
      <c r="G7" s="91" t="str">
        <f ca="1">Referrals!G45</f>
        <v>OFFER_REFERRAL_NO_PREMIUM</v>
      </c>
      <c r="H7" s="93">
        <f>ROUND('Prämie - Roland'!E30,2)</f>
        <v>0.4</v>
      </c>
      <c r="I7" s="93">
        <f>ROUND('Prämie - Roland'!F30,2)</f>
        <v>0</v>
      </c>
      <c r="J7" s="93" t="str">
        <f>Referrals!F$37</f>
        <v>,hpst_geltungsbereich_2:hpst_rol-2,hpst_kartellrecht:group-hpst-1</v>
      </c>
      <c r="K7" s="180"/>
      <c r="L7" s="180"/>
    </row>
    <row r="9" spans="1:14" ht="15" customHeight="1">
      <c r="A9" s="23" t="s">
        <v>4782</v>
      </c>
    </row>
    <row r="10" spans="1:14">
      <c r="A10" s="23" t="s">
        <v>4783</v>
      </c>
    </row>
    <row r="11" spans="1:14">
      <c r="A11" s="23" t="s">
        <v>50</v>
      </c>
      <c r="B11" s="27" t="str">
        <f>IFERROR(VLOOKUP(Referrals!B7,'SIC-TAW-Codes'!A:C,3,FALSE),"0002")</f>
        <v>0002</v>
      </c>
    </row>
    <row r="12" spans="1:14" ht="15" customHeight="1">
      <c r="A12" s="23" t="s">
        <v>51</v>
      </c>
      <c r="B12" s="27" t="str">
        <f>VLOOKUP(B11,'SIC-TAW-Codes'!C:D,2,FALSE)</f>
        <v>Anfrage</v>
      </c>
    </row>
    <row r="13" spans="1:14" ht="15" customHeight="1">
      <c r="A13" s="23" t="s">
        <v>4784</v>
      </c>
      <c r="B13" s="27" t="str">
        <f>IFERROR(VLOOKUP(Referrals!B7,'SIC-TAW-Codes'!A:F,6,FALSE),"0002")</f>
        <v>0002</v>
      </c>
    </row>
    <row r="14" spans="1:14" ht="15" customHeight="1">
      <c r="A14" s="23" t="s">
        <v>51</v>
      </c>
      <c r="B14" s="27" t="str">
        <f>VLOOKUP(B13,'SIC-TAW-Codes'!F:G,2,FALSE)</f>
        <v>Anfrage</v>
      </c>
    </row>
    <row r="15" spans="1:14" ht="15" customHeight="1">
      <c r="A15" s="46"/>
      <c r="B15" s="46"/>
    </row>
    <row r="16" spans="1:14" ht="15" customHeight="1">
      <c r="A16" s="21"/>
      <c r="B16" s="22" t="s">
        <v>34</v>
      </c>
      <c r="C16" s="22" t="s">
        <v>35</v>
      </c>
      <c r="D16" s="22" t="s">
        <v>36</v>
      </c>
      <c r="E16" s="22" t="s">
        <v>37</v>
      </c>
      <c r="F16" s="22" t="s">
        <v>38</v>
      </c>
      <c r="G16" s="22" t="s">
        <v>39</v>
      </c>
      <c r="H16" s="22" t="s">
        <v>40</v>
      </c>
      <c r="I16" s="22" t="s">
        <v>41</v>
      </c>
      <c r="J16" s="22" t="s">
        <v>42</v>
      </c>
      <c r="K16" s="22" t="s">
        <v>4551</v>
      </c>
      <c r="L16" s="22" t="s">
        <v>4484</v>
      </c>
      <c r="M16" s="22" t="s">
        <v>4550</v>
      </c>
      <c r="N16" s="22" t="s">
        <v>4548</v>
      </c>
    </row>
    <row r="17" spans="1:14" ht="15" customHeight="1">
      <c r="A17" s="23" t="s">
        <v>43</v>
      </c>
      <c r="B17" s="24" t="s">
        <v>4479</v>
      </c>
      <c r="C17" s="25">
        <f>'Prämie - Arag'!B25</f>
        <v>0</v>
      </c>
      <c r="D17" s="25" t="str">
        <f>'Prämie - Arag'!C25</f>
        <v/>
      </c>
      <c r="E17" s="25" t="str">
        <f>IF(D17="",IF(ISNUMBER('Prämie - Arag'!D25),ROUND('Prämie - Arag'!D25,2),""),"")</f>
        <v/>
      </c>
      <c r="F17" s="24" t="str">
        <f>TEXT(4,"4")</f>
        <v>4</v>
      </c>
      <c r="G17" s="24" t="str">
        <f ca="1">Referrals!L40</f>
        <v>OFFER_REFERRAL</v>
      </c>
      <c r="H17" s="26">
        <f>ROUND('Prämie - Arag'!E25,2)</f>
        <v>0.4</v>
      </c>
      <c r="I17" s="26">
        <f>ROUND('Prämie - Arag'!F25,2)</f>
        <v>0</v>
      </c>
      <c r="J17" s="26" t="str">
        <f>CONCATENATE(Referrals!K40,Referrals!K$37)</f>
        <v/>
      </c>
      <c r="K17" s="26" t="str">
        <f>IF(ISNUMBER('Arag-Tarif'!D21), 'Arag-Tarif'!D21,"")</f>
        <v/>
      </c>
      <c r="L17" s="26" t="str">
        <f>IF(ISNUMBER('Arag-Tarif'!E21), 'Arag-Tarif'!E21,"")</f>
        <v/>
      </c>
      <c r="M17" s="88" t="str">
        <f>IF(ISERROR('Arag-Tarif'!F21),"",'Arag-Tarif'!F21)</f>
        <v/>
      </c>
      <c r="N17" s="88" t="str">
        <f>IF(ISERROR('Arag-Tarif'!B14),"",'Arag-Tarif'!B14)</f>
        <v>0 - 10</v>
      </c>
    </row>
    <row r="18" spans="1:14" ht="15" customHeight="1">
      <c r="A18" s="23" t="s">
        <v>45</v>
      </c>
      <c r="B18" s="24" t="s">
        <v>4479</v>
      </c>
      <c r="C18" s="25">
        <f>'Prämie - Arag'!B26</f>
        <v>0</v>
      </c>
      <c r="E18" s="25" t="str">
        <f>IF(D18="",IF(ISNUMBER('Prämie - Arag'!D26),ROUND('Prämie - Arag'!D26,2),""),"")</f>
        <v/>
      </c>
      <c r="F18" s="24" t="str">
        <f t="shared" ref="F18:F22" si="1">TEXT(4,"4")</f>
        <v>4</v>
      </c>
      <c r="G18" s="24" t="str">
        <f ca="1">Referrals!L41</f>
        <v>OFFER_REFERRAL</v>
      </c>
      <c r="H18" s="26">
        <f>ROUND('Prämie - Arag'!E26,2)</f>
        <v>0.4</v>
      </c>
      <c r="I18" s="26">
        <f>ROUND('Prämie - Arag'!F26,2)</f>
        <v>0</v>
      </c>
      <c r="J18" s="26" t="str">
        <f>CONCATENATE(Referrals!K41,Referrals!K$37)</f>
        <v/>
      </c>
      <c r="K18" s="26" t="str">
        <f>IF(ISNUMBER('Arag-Tarif'!D22), 'Arag-Tarif'!D22,"")</f>
        <v/>
      </c>
      <c r="L18" s="26" t="str">
        <f>IF(ISNUMBER('Arag-Tarif'!E22), 'Arag-Tarif'!E22,"")</f>
        <v/>
      </c>
      <c r="M18" s="88" t="str">
        <f>IF(ISERROR('Arag-Tarif'!F22),"",'Arag-Tarif'!F22)</f>
        <v/>
      </c>
      <c r="N18" s="88" t="str">
        <f>IF(ISERROR('Arag-Tarif'!B14),"",'Arag-Tarif'!B14)</f>
        <v>0 - 10</v>
      </c>
    </row>
    <row r="19" spans="1:14" ht="15" customHeight="1">
      <c r="A19" s="23" t="s">
        <v>46</v>
      </c>
      <c r="B19" s="24" t="s">
        <v>4479</v>
      </c>
      <c r="C19" s="25">
        <f>'Prämie - Arag'!B27</f>
        <v>0</v>
      </c>
      <c r="D19" s="25" t="str">
        <f>'Prämie - Arag'!C27</f>
        <v/>
      </c>
      <c r="E19" s="25" t="str">
        <f>IF(D19="",IF(ISNUMBER('Prämie - Arag'!D27),ROUND('Prämie - Arag'!D27,2),""),"")</f>
        <v/>
      </c>
      <c r="F19" s="24" t="str">
        <f t="shared" si="1"/>
        <v>4</v>
      </c>
      <c r="G19" s="24" t="str">
        <f ca="1">Referrals!L42</f>
        <v>OFFER_REFERRAL</v>
      </c>
      <c r="H19" s="26">
        <f>ROUND('Prämie - Arag'!E27,2)</f>
        <v>0.4</v>
      </c>
      <c r="I19" s="26">
        <f>ROUND('Prämie - Arag'!F27,2)</f>
        <v>0</v>
      </c>
      <c r="J19" s="26" t="str">
        <f>CONCATENATE(Referrals!K42,Referrals!K$37)</f>
        <v/>
      </c>
      <c r="K19" s="26" t="str">
        <f>IF(ISNUMBER('Arag-Tarif'!D23), 'Arag-Tarif'!D23,"")</f>
        <v/>
      </c>
      <c r="L19" s="26" t="str">
        <f>IF(ISNUMBER('Arag-Tarif'!E23), 'Arag-Tarif'!E23,"")</f>
        <v/>
      </c>
      <c r="M19" s="88" t="str">
        <f>IF(ISERROR('Arag-Tarif'!F23),"",'Arag-Tarif'!F23)</f>
        <v/>
      </c>
      <c r="N19" s="88" t="str">
        <f>IF(ISERROR('Arag-Tarif'!B14),"",'Arag-Tarif'!B14)</f>
        <v>0 - 10</v>
      </c>
    </row>
    <row r="20" spans="1:14" ht="15" customHeight="1">
      <c r="A20" s="23" t="s">
        <v>47</v>
      </c>
      <c r="B20" s="24" t="s">
        <v>4479</v>
      </c>
      <c r="C20" s="25">
        <f>'Prämie - Arag'!B28</f>
        <v>0</v>
      </c>
      <c r="E20" s="25" t="str">
        <f>IF(D20="",IF(ISNUMBER('Prämie - Arag'!D28),ROUND('Prämie - Arag'!D28,2),""),"")</f>
        <v/>
      </c>
      <c r="F20" s="24" t="str">
        <f t="shared" si="1"/>
        <v>4</v>
      </c>
      <c r="G20" s="24" t="str">
        <f ca="1">Referrals!L43</f>
        <v>OFFER_REFERRAL</v>
      </c>
      <c r="H20" s="26">
        <f>ROUND('Prämie - Arag'!E28,2)</f>
        <v>0.4</v>
      </c>
      <c r="I20" s="26">
        <f>ROUND('Prämie - Arag'!F28,2)</f>
        <v>0</v>
      </c>
      <c r="J20" s="26" t="str">
        <f>CONCATENATE(Referrals!K43,Referrals!K$37)</f>
        <v/>
      </c>
      <c r="K20" s="26" t="str">
        <f>IF(ISNUMBER('Arag-Tarif'!D24), 'Arag-Tarif'!D24,"")</f>
        <v/>
      </c>
      <c r="L20" s="26" t="str">
        <f>IF(ISNUMBER('Arag-Tarif'!E24), 'Arag-Tarif'!E24,"")</f>
        <v/>
      </c>
      <c r="M20" s="88" t="str">
        <f>IF(ISERROR('Arag-Tarif'!F24),"",'Arag-Tarif'!F24)</f>
        <v/>
      </c>
      <c r="N20" s="88" t="str">
        <f>IF(ISERROR('Arag-Tarif'!B14),"",'Arag-Tarif'!B14)</f>
        <v>0 - 10</v>
      </c>
    </row>
    <row r="21" spans="1:14" ht="15" customHeight="1">
      <c r="A21" s="23" t="s">
        <v>48</v>
      </c>
      <c r="B21" s="24" t="s">
        <v>4479</v>
      </c>
      <c r="C21" s="25">
        <f>'Prämie - Arag'!B29</f>
        <v>0</v>
      </c>
      <c r="D21" s="25" t="str">
        <f>'Prämie - Arag'!C29</f>
        <v/>
      </c>
      <c r="E21" s="25" t="str">
        <f>IF(D21="",IF(ISNUMBER('Prämie - Arag'!D29),ROUND('Prämie - Arag'!D29,2),""),"")</f>
        <v/>
      </c>
      <c r="F21" s="24" t="str">
        <f t="shared" si="1"/>
        <v>4</v>
      </c>
      <c r="G21" s="24" t="str">
        <f ca="1">Referrals!L44</f>
        <v>OFFER_REFERRAL</v>
      </c>
      <c r="H21" s="26">
        <f>ROUND('Prämie - Arag'!E29,2)</f>
        <v>0.4</v>
      </c>
      <c r="I21" s="26">
        <f>ROUND('Prämie - Arag'!F29,2)</f>
        <v>0</v>
      </c>
      <c r="J21" s="26" t="str">
        <f>CONCATENATE(Referrals!K44,Referrals!K$37)</f>
        <v/>
      </c>
      <c r="K21" s="26" t="str">
        <f>IF(ISNUMBER('Arag-Tarif'!D25), 'Arag-Tarif'!D25,"")</f>
        <v/>
      </c>
      <c r="L21" s="26" t="str">
        <f>IF(ISNUMBER('Arag-Tarif'!E25), 'Arag-Tarif'!E25,"")</f>
        <v/>
      </c>
      <c r="M21" s="88" t="str">
        <f>IF(ISERROR('Arag-Tarif'!F25),"",'Arag-Tarif'!F25)</f>
        <v/>
      </c>
      <c r="N21" s="88" t="str">
        <f>IF(ISERROR('Arag-Tarif'!B14),"",'Arag-Tarif'!B14)</f>
        <v>0 - 10</v>
      </c>
    </row>
    <row r="22" spans="1:14" ht="15" customHeight="1">
      <c r="A22" s="23" t="s">
        <v>49</v>
      </c>
      <c r="B22" s="24" t="s">
        <v>4479</v>
      </c>
      <c r="C22" s="25">
        <f>'Prämie - Arag'!B30</f>
        <v>0</v>
      </c>
      <c r="E22" s="25" t="str">
        <f>IF(D22="",IF(ISNUMBER('Prämie - Arag'!D30),ROUND('Prämie - Arag'!D30,2),""),"")</f>
        <v/>
      </c>
      <c r="F22" s="24" t="str">
        <f t="shared" si="1"/>
        <v>4</v>
      </c>
      <c r="G22" s="24" t="str">
        <f ca="1">Referrals!L45</f>
        <v>OFFER_REFERRAL</v>
      </c>
      <c r="H22" s="26">
        <f>ROUND('Prämie - Arag'!E30,2)</f>
        <v>0.4</v>
      </c>
      <c r="I22" s="26">
        <f>ROUND('Prämie - Arag'!F30,2)</f>
        <v>0</v>
      </c>
      <c r="J22" s="26" t="str">
        <f>CONCATENATE(Referrals!K45,Referrals!K$37)</f>
        <v/>
      </c>
      <c r="K22" s="26" t="str">
        <f>IF(ISNUMBER('Arag-Tarif'!D26), 'Arag-Tarif'!D26,"")</f>
        <v/>
      </c>
      <c r="L22" s="26" t="str">
        <f>IF(ISNUMBER('Arag-Tarif'!E26), 'Arag-Tarif'!E26,"")</f>
        <v/>
      </c>
      <c r="M22" s="88" t="str">
        <f>IF(ISERROR('Arag-Tarif'!F26),"",'Arag-Tarif'!F26)</f>
        <v/>
      </c>
      <c r="N22" s="88" t="str">
        <f>IF(ISERROR('Arag-Tarif'!B14),"",'Arag-Tarif'!B14)</f>
        <v>0 - 10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  <outlinePr summaryBelow="0" summaryRight="0"/>
  </sheetPr>
  <dimension ref="A1:O48"/>
  <sheetViews>
    <sheetView zoomScale="55" zoomScaleNormal="55" workbookViewId="0">
      <selection activeCell="K40" sqref="K40:K45"/>
    </sheetView>
  </sheetViews>
  <sheetFormatPr baseColWidth="10" defaultColWidth="14.42578125" defaultRowHeight="15" customHeight="1"/>
  <cols>
    <col min="1" max="1" width="108.42578125" customWidth="1"/>
    <col min="2" max="2" width="30.42578125" customWidth="1"/>
    <col min="3" max="3" width="25.42578125" customWidth="1"/>
    <col min="4" max="4" width="52" bestFit="1" customWidth="1"/>
    <col min="5" max="5" width="32.42578125" customWidth="1"/>
    <col min="6" max="7" width="30.140625" customWidth="1"/>
    <col min="8" max="8" width="29.140625" customWidth="1"/>
    <col min="9" max="10" width="35.85546875" customWidth="1"/>
    <col min="11" max="12" width="30.140625" customWidth="1"/>
    <col min="13" max="13" width="14.42578125" customWidth="1"/>
    <col min="14" max="14" width="39.42578125" bestFit="1" customWidth="1"/>
    <col min="15" max="15" width="38.42578125" bestFit="1" customWidth="1"/>
  </cols>
  <sheetData>
    <row r="1" spans="1:15" ht="15" customHeight="1">
      <c r="C1" s="192" t="s">
        <v>44</v>
      </c>
      <c r="D1" s="192"/>
      <c r="E1" s="192"/>
      <c r="F1" s="192"/>
      <c r="G1" s="149"/>
      <c r="H1" s="193" t="s">
        <v>4479</v>
      </c>
      <c r="I1" s="194"/>
      <c r="J1" s="194"/>
      <c r="K1" s="194"/>
      <c r="L1" s="150"/>
    </row>
    <row r="2" spans="1:15">
      <c r="A2" s="43" t="s">
        <v>0</v>
      </c>
      <c r="B2" s="44" t="s">
        <v>1</v>
      </c>
      <c r="C2" s="45" t="s">
        <v>4365</v>
      </c>
      <c r="D2" s="45" t="s">
        <v>4366</v>
      </c>
      <c r="E2" s="45" t="s">
        <v>4367</v>
      </c>
      <c r="F2" s="45" t="s">
        <v>4368</v>
      </c>
      <c r="G2" s="45"/>
      <c r="H2" s="94" t="s">
        <v>4365</v>
      </c>
      <c r="I2" s="45" t="s">
        <v>4366</v>
      </c>
      <c r="J2" s="45" t="s">
        <v>4367</v>
      </c>
      <c r="K2" s="45" t="s">
        <v>4368</v>
      </c>
      <c r="L2" s="45"/>
      <c r="N2" s="98" t="s">
        <v>4494</v>
      </c>
      <c r="O2" s="135" t="s">
        <v>4495</v>
      </c>
    </row>
    <row r="3" spans="1:15">
      <c r="A3" s="47" t="str">
        <f>Fragenkatalog!A2</f>
        <v>Land des Versicherungsnehmers</v>
      </c>
      <c r="B3" s="48">
        <f>Fragenkatalog!B2</f>
        <v>0</v>
      </c>
      <c r="C3" s="27" t="str">
        <f>IF($B$3 = "DE",OfferReady,OfferReferral)</f>
        <v>OFFER_REFERRAL</v>
      </c>
      <c r="D3" s="49"/>
      <c r="E3" s="49"/>
      <c r="F3" s="27"/>
      <c r="G3" s="27"/>
      <c r="H3" s="95" t="str">
        <f>IF($B$3 = "DE",OfferReady,OfferReferral)</f>
        <v>OFFER_REFERRAL</v>
      </c>
      <c r="I3" s="27"/>
      <c r="J3" s="27"/>
      <c r="K3" s="27"/>
      <c r="L3" s="27"/>
      <c r="N3" s="100" t="s">
        <v>4369</v>
      </c>
      <c r="O3" s="134"/>
    </row>
    <row r="4" spans="1:15">
      <c r="A4" s="47" t="str">
        <f>Fragenkatalog!A3</f>
        <v>Gewünschter Policen Beginn</v>
      </c>
      <c r="B4" s="50">
        <f>Fragenkatalog!B3</f>
        <v>0</v>
      </c>
      <c r="C4" s="27" t="str">
        <f ca="1">IF($B$4&lt;TODAY(),OfferReferral,OfferReady)</f>
        <v>OFFER_REFERRAL</v>
      </c>
      <c r="D4" s="49"/>
      <c r="E4" s="49"/>
      <c r="F4" s="27"/>
      <c r="G4" s="27"/>
      <c r="H4" s="95" t="str">
        <f ca="1">IF($B$4&lt;TODAY(),OfferReferral,OfferReady)</f>
        <v>OFFER_REFERRAL</v>
      </c>
      <c r="I4" s="27"/>
      <c r="J4" s="27"/>
      <c r="K4" s="27"/>
      <c r="L4" s="27"/>
      <c r="N4" s="100" t="s">
        <v>4370</v>
      </c>
      <c r="O4" s="134"/>
    </row>
    <row r="5" spans="1:15">
      <c r="A5" s="47" t="str">
        <f>Fragenkatalog!A4</f>
        <v>Gewünschtes Policen Ende</v>
      </c>
      <c r="B5" s="50">
        <f>Fragenkatalog!B4</f>
        <v>0</v>
      </c>
      <c r="C5" s="27"/>
      <c r="D5" s="49"/>
      <c r="E5" s="49"/>
      <c r="F5" s="27"/>
      <c r="G5" s="27"/>
      <c r="H5" s="95"/>
      <c r="I5" s="27"/>
      <c r="J5" s="27"/>
      <c r="K5" s="27"/>
      <c r="L5" s="27"/>
      <c r="N5" s="101"/>
      <c r="O5" s="136"/>
    </row>
    <row r="6" spans="1:15">
      <c r="A6" s="51" t="s">
        <v>4371</v>
      </c>
      <c r="B6" s="52">
        <f>DAYS360(B4,B5)</f>
        <v>0</v>
      </c>
      <c r="C6" s="27" t="str">
        <f>IF($B$6&gt;1080,OfferReferral,OfferReady)</f>
        <v>OFFER_READY_FOR_POLICY</v>
      </c>
      <c r="D6" s="49"/>
      <c r="E6" s="49"/>
      <c r="F6" s="27"/>
      <c r="G6" s="27"/>
      <c r="H6" s="138" t="str">
        <f>IF(OR($B$6&gt;360,$B$6&lt;360),OfferReferral,OfferReady)</f>
        <v>OFFER_REFERRAL</v>
      </c>
      <c r="I6" s="27"/>
      <c r="J6" s="27"/>
      <c r="K6" s="27"/>
      <c r="L6" s="27"/>
      <c r="N6" s="100" t="s">
        <v>4372</v>
      </c>
      <c r="O6" s="134"/>
    </row>
    <row r="7" spans="1:15">
      <c r="A7" s="47" t="str">
        <f>Fragenkatalog!A11</f>
        <v>Branche (SIC-Codes)</v>
      </c>
      <c r="B7" s="48">
        <f>Fragenkatalog!B11</f>
        <v>0</v>
      </c>
      <c r="C7" s="27"/>
      <c r="D7" s="49"/>
      <c r="E7" s="49"/>
      <c r="F7" s="27"/>
      <c r="G7" s="27"/>
      <c r="H7" s="95" t="e">
        <f>VLOOKUP(arag_Referral,'Listen-Daten'!$T$2:$U$4,2,FALSE)</f>
        <v>#N/A</v>
      </c>
      <c r="I7" s="27"/>
      <c r="J7" s="27"/>
      <c r="K7" s="27"/>
      <c r="L7" s="27"/>
      <c r="N7" s="101"/>
      <c r="O7" s="136"/>
    </row>
    <row r="8" spans="1:15">
      <c r="A8" s="51" t="s">
        <v>4373</v>
      </c>
      <c r="B8" s="52" t="str">
        <f>IFERROR(VLOOKUP(B7,'SIC-TAW-Codes'!A:C,3,FALSE),"0002")</f>
        <v>0002</v>
      </c>
      <c r="C8" s="27" t="str">
        <f>IF(OR(B8="7000",B8="7005",B8="7021",B8="8838",B8="7020",B8="7008",B8="8839",B8="7027",B8="7019",B8="7023",B8="6700",B8="0002"),OfferReferralNoPremium,IF(ISNUMBER(MATCH(B8,'SIC-TAW-Codes'!N:N,0)),OfferReferral,OfferReady))</f>
        <v>OFFER_REFERRAL_NO_PREMIUM</v>
      </c>
      <c r="D8" s="49"/>
      <c r="E8" s="49">
        <f>IF(ISNUMBER(MATCH(B8,'SIC-TAW-Codes'!K:K,0)),30,0)</f>
        <v>0</v>
      </c>
      <c r="F8" s="27"/>
      <c r="G8" s="27"/>
      <c r="H8" s="95"/>
      <c r="I8" s="27"/>
      <c r="J8" s="27"/>
      <c r="K8" s="27"/>
      <c r="L8" s="27"/>
      <c r="N8" s="100" t="s">
        <v>55</v>
      </c>
      <c r="O8" s="134"/>
    </row>
    <row r="9" spans="1:15">
      <c r="A9" s="47" t="str">
        <f>Fragenkatalog!A12</f>
        <v>Rechtsform</v>
      </c>
      <c r="B9" s="50" t="str">
        <f>Fragenkatalog!C12</f>
        <v>andere</v>
      </c>
      <c r="C9" s="27"/>
      <c r="D9" s="49"/>
      <c r="E9" s="49"/>
      <c r="F9" s="27"/>
      <c r="G9" s="27"/>
      <c r="H9" s="138" t="str">
        <f>IF(VLOOKUP($B$9,'Listen-Daten'!B:C,2,0)=OfferReady,"",VLOOKUP($B$9,'Listen-Daten'!B:C,2,0))</f>
        <v>OFFER_REFERRAL</v>
      </c>
      <c r="I9" s="27"/>
      <c r="J9" s="27"/>
      <c r="K9" s="27"/>
      <c r="L9" s="27"/>
      <c r="N9" s="101" t="s">
        <v>12</v>
      </c>
      <c r="O9" s="136"/>
    </row>
    <row r="10" spans="1:15">
      <c r="A10" s="47" t="str">
        <f>Fragenkatalog!A13</f>
        <v>Anzahl Vollzeit Beschäftigte</v>
      </c>
      <c r="B10" s="50">
        <f>Fragenkatalog!B13</f>
        <v>0</v>
      </c>
      <c r="C10" s="27"/>
      <c r="D10" s="49"/>
      <c r="E10" s="49"/>
      <c r="F10" s="27"/>
      <c r="G10" s="27"/>
      <c r="H10" s="95"/>
      <c r="I10" s="27"/>
      <c r="J10" s="27"/>
      <c r="K10" s="27"/>
      <c r="L10" s="27"/>
      <c r="N10" s="101"/>
      <c r="O10" s="136"/>
    </row>
    <row r="11" spans="1:15">
      <c r="A11" s="47" t="str">
        <f>Fragenkatalog!A14</f>
        <v>Anzahl Teilzeit Beschäftigte</v>
      </c>
      <c r="B11" s="50">
        <f>Fragenkatalog!B14</f>
        <v>0</v>
      </c>
      <c r="C11" s="27"/>
      <c r="D11" s="49"/>
      <c r="E11" s="49"/>
      <c r="F11" s="27"/>
      <c r="G11" s="27"/>
      <c r="H11" s="95"/>
      <c r="I11" s="27"/>
      <c r="J11" s="27"/>
      <c r="K11" s="27"/>
      <c r="L11" s="27"/>
      <c r="N11" s="101"/>
      <c r="O11" s="136"/>
    </row>
    <row r="12" spans="1:15">
      <c r="A12" s="47" t="str">
        <f>Fragenkatalog!A15</f>
        <v>Anzahl geringfügig Beschäftigte</v>
      </c>
      <c r="B12" s="50">
        <f>Fragenkatalog!B15</f>
        <v>0</v>
      </c>
      <c r="C12" s="27"/>
      <c r="D12" s="49"/>
      <c r="E12" s="49"/>
      <c r="F12" s="27"/>
      <c r="G12" s="27"/>
      <c r="H12" s="95"/>
      <c r="I12" s="27"/>
      <c r="J12" s="27"/>
      <c r="K12" s="27"/>
      <c r="L12" s="27"/>
      <c r="N12" s="101"/>
      <c r="O12" s="136"/>
    </row>
    <row r="13" spans="1:15">
      <c r="A13" s="51" t="s">
        <v>4374</v>
      </c>
      <c r="B13" s="52">
        <f>B10+ROUNDUP(B11/2+B12/4,0)</f>
        <v>0</v>
      </c>
      <c r="C13" s="27" t="str">
        <f>IF(anzahlMitarbeiterGesamt&gt;1500,OfferReferral,OfferReady)</f>
        <v>OFFER_READY_FOR_POLICY</v>
      </c>
      <c r="D13" s="49"/>
      <c r="E13" s="49"/>
      <c r="F13" s="27"/>
      <c r="G13" s="27"/>
      <c r="H13" s="95" t="str">
        <f>IF(anzahlMitarbeiterGesamt&gt;100,OfferReferral,OfferReady)</f>
        <v>OFFER_READY_FOR_POLICY</v>
      </c>
      <c r="I13" s="27"/>
      <c r="J13" s="27"/>
      <c r="K13" s="27"/>
      <c r="L13" s="27"/>
      <c r="N13" s="100" t="s">
        <v>4375</v>
      </c>
      <c r="O13" s="134"/>
    </row>
    <row r="14" spans="1:15">
      <c r="A14" s="47" t="s">
        <v>4781</v>
      </c>
      <c r="B14" s="50">
        <f>DaughterAndCoInsuredCompanies</f>
        <v>0</v>
      </c>
      <c r="C14" s="27" t="str">
        <f>IF($B$14="WORLD",OfferReferral,OfferReady)</f>
        <v>OFFER_READY_FOR_POLICY</v>
      </c>
      <c r="D14" s="49"/>
      <c r="E14" s="49"/>
      <c r="F14" s="27"/>
      <c r="G14" s="27"/>
      <c r="H14" s="95" t="str">
        <f>IF($B$14="WORLD",OfferReferral,OfferReady)</f>
        <v>OFFER_READY_FOR_POLICY</v>
      </c>
      <c r="I14" s="27"/>
      <c r="J14" s="27"/>
      <c r="K14" s="152"/>
      <c r="L14" s="152"/>
      <c r="N14" s="100" t="s">
        <v>4790</v>
      </c>
      <c r="O14" s="134"/>
    </row>
    <row r="15" spans="1:15">
      <c r="A15" s="47" t="str">
        <f>Fragenkatalog!A17</f>
        <v>Geltungsbereich</v>
      </c>
      <c r="B15" s="50">
        <f>Fragenkatalog!B17</f>
        <v>0</v>
      </c>
      <c r="C15" s="27"/>
      <c r="D15" s="49"/>
      <c r="E15" s="49" t="s">
        <v>4492</v>
      </c>
      <c r="F15" s="27" t="str">
        <f>IF(geltungsbereich="EU",",hpst_geltungsbereich_1:hpst_rol-2",",hpst_geltungsbereich_2:hpst_rol-2")</f>
        <v>,hpst_geltungsbereich_2:hpst_rol-2</v>
      </c>
      <c r="G15" s="27"/>
      <c r="H15" s="95"/>
      <c r="I15" s="27"/>
      <c r="J15" s="49" t="s">
        <v>4491</v>
      </c>
      <c r="K15" s="152"/>
      <c r="L15" s="152"/>
      <c r="N15" s="101"/>
      <c r="O15" s="136"/>
    </row>
    <row r="16" spans="1:15">
      <c r="A16" s="47" t="str">
        <f>Fragenkatalog!A18</f>
        <v>Nettoisierung</v>
      </c>
      <c r="B16" s="50">
        <f>Fragenkatalog!B18</f>
        <v>0</v>
      </c>
      <c r="C16" s="27"/>
      <c r="D16" s="49"/>
      <c r="E16" s="49"/>
      <c r="F16" s="27"/>
      <c r="G16" s="27"/>
      <c r="H16" s="95"/>
      <c r="I16" s="27"/>
      <c r="J16" s="27"/>
      <c r="K16" s="27"/>
      <c r="L16" s="27"/>
      <c r="N16" s="101"/>
      <c r="O16" s="136"/>
    </row>
    <row r="17" spans="1:15">
      <c r="A17" s="47" t="str">
        <f>Fragenkatalog!A19</f>
        <v>Provision Koopmakler</v>
      </c>
      <c r="B17" s="50">
        <f>Fragenkatalog!B19</f>
        <v>0</v>
      </c>
      <c r="C17" s="27"/>
      <c r="D17" s="49"/>
      <c r="E17" s="49"/>
      <c r="F17" s="27"/>
      <c r="G17" s="27"/>
      <c r="H17" s="95"/>
      <c r="I17" s="27"/>
      <c r="J17" s="27"/>
      <c r="K17" s="27"/>
      <c r="L17" s="27"/>
      <c r="N17" s="101"/>
      <c r="O17" s="136"/>
    </row>
    <row r="18" spans="1:15" ht="30">
      <c r="A18" s="47" t="str">
        <f>Fragenkatalog!A20</f>
        <v>Besteht oder bestand für zu versichernde Unternehmen bereits eine Rechtsschutzversicherung im Sinne dieser HPST-Ausschreibung?</v>
      </c>
      <c r="B18" s="48">
        <f>Fragenkatalog!B20</f>
        <v>0</v>
      </c>
      <c r="C18" s="27" t="str">
        <f>IF(AND(B18="YES",OR(B19="5807",B19="5528")),OfferReferral,OfferReady)</f>
        <v>OFFER_READY_FOR_POLICY</v>
      </c>
      <c r="D18" s="190"/>
      <c r="E18" s="49"/>
      <c r="F18" s="27"/>
      <c r="G18" s="27"/>
      <c r="H18" s="95" t="str">
        <f>IF(B18="YES",OfferReferral,OfferReady)</f>
        <v>OFFER_READY_FOR_POLICY</v>
      </c>
      <c r="I18" s="27"/>
      <c r="J18" s="27"/>
      <c r="K18" s="27"/>
      <c r="L18" s="27"/>
      <c r="N18" s="100" t="s">
        <v>4376</v>
      </c>
      <c r="O18" s="134"/>
    </row>
    <row r="19" spans="1:15">
      <c r="A19" s="47" t="s">
        <v>4681</v>
      </c>
      <c r="B19" s="48">
        <f>Fragenkatalog!B21</f>
        <v>0</v>
      </c>
      <c r="C19" s="27"/>
      <c r="D19" s="49"/>
      <c r="E19" s="49"/>
      <c r="F19" s="27"/>
      <c r="G19" s="27"/>
      <c r="H19" s="95"/>
      <c r="I19" s="27"/>
      <c r="J19" s="27"/>
      <c r="K19" s="27"/>
      <c r="L19" s="27"/>
      <c r="N19" s="100"/>
      <c r="O19" s="134"/>
    </row>
    <row r="20" spans="1:15">
      <c r="A20" s="47" t="str">
        <f>Fragenkatalog!A22</f>
        <v>Wurde dem Vorvertrag ein Hendricks und Partner Bedingungswerk zugrunde gelegt?</v>
      </c>
      <c r="B20" s="48">
        <f>Fragenkatalog!B22</f>
        <v>0</v>
      </c>
      <c r="C20" s="27"/>
      <c r="D20" s="49"/>
      <c r="E20" s="49"/>
      <c r="F20" s="27" t="str">
        <f>IF(AND(B18="YES",RisikoFrageClaims1c="NO"),",hpst-anz-obl:group-hpst-1","")</f>
        <v/>
      </c>
      <c r="G20" s="27"/>
      <c r="H20" s="95"/>
      <c r="I20" s="27"/>
      <c r="J20" s="27"/>
      <c r="K20" s="27"/>
      <c r="L20" s="27"/>
      <c r="N20" s="101"/>
      <c r="O20" s="136"/>
    </row>
    <row r="21" spans="1:15">
      <c r="A21" s="47" t="str">
        <f>Fragenkatalog!A23</f>
        <v>Versicherungsscheinnummer</v>
      </c>
      <c r="B21" s="48">
        <f>Fragenkatalog!B23</f>
        <v>0</v>
      </c>
      <c r="C21" s="27"/>
      <c r="D21" s="49"/>
      <c r="E21" s="49"/>
      <c r="F21" s="27"/>
      <c r="G21" s="27"/>
      <c r="H21" s="95"/>
      <c r="I21" s="27"/>
      <c r="J21" s="27"/>
      <c r="K21" s="27"/>
      <c r="L21" s="27"/>
      <c r="N21" s="101"/>
      <c r="O21" s="136"/>
    </row>
    <row r="22" spans="1:15">
      <c r="A22" s="47" t="str">
        <f>Fragenkatalog!A24</f>
        <v>Deckungssumme des Vorvertrags</v>
      </c>
      <c r="B22" s="48">
        <f>Fragenkatalog!B24</f>
        <v>0</v>
      </c>
      <c r="C22" s="27"/>
      <c r="D22" s="49"/>
      <c r="E22" s="49"/>
      <c r="F22" s="27"/>
      <c r="G22" s="27"/>
      <c r="H22" s="95"/>
      <c r="I22" s="27"/>
      <c r="J22" s="27"/>
      <c r="K22" s="27"/>
      <c r="L22" s="27"/>
      <c r="N22" s="101"/>
      <c r="O22" s="136"/>
    </row>
    <row r="23" spans="1:15" ht="30">
      <c r="A23" s="47" t="str">
        <f>Fragenkatalog!A25</f>
        <v>Haben sich im Rahmen einer Vorversicherung bei einem anderen Versicherer für das beantragte Risiko Schadenfälle ereignet?</v>
      </c>
      <c r="B23" s="48">
        <f>Fragenkatalog!B25</f>
        <v>0</v>
      </c>
      <c r="C23" s="27" t="str">
        <f>IF($B$23="YES",OfferReferral,OfferReady)</f>
        <v>OFFER_READY_FOR_POLICY</v>
      </c>
      <c r="D23" s="49"/>
      <c r="E23" s="49"/>
      <c r="F23" s="27"/>
      <c r="G23" s="27"/>
      <c r="H23" s="95" t="str">
        <f>IF($B$23="YES",OfferReferral,OfferReady)</f>
        <v>OFFER_READY_FOR_POLICY</v>
      </c>
      <c r="I23" s="27"/>
      <c r="J23" s="27"/>
      <c r="K23" s="27"/>
      <c r="L23" s="27"/>
      <c r="N23" s="100" t="s">
        <v>4377</v>
      </c>
      <c r="O23" s="134"/>
    </row>
    <row r="24" spans="1:15" ht="30">
      <c r="A24" s="47" t="str">
        <f>Fragenkatalog!A26</f>
        <v>Wurde der Vertrag vom Vorversicherer gekündigt oder wurden Sanierungsmaßnahmen eingeleitet oder angekündigt?</v>
      </c>
      <c r="B24" s="48">
        <f>Fragenkatalog!B26</f>
        <v>0</v>
      </c>
      <c r="C24" s="27" t="str">
        <f>IF($B$24="YES",OfferReferral,OfferReady)</f>
        <v>OFFER_READY_FOR_POLICY</v>
      </c>
      <c r="D24" s="49"/>
      <c r="E24" s="49"/>
      <c r="F24" s="27"/>
      <c r="G24" s="27"/>
      <c r="H24" s="95" t="str">
        <f>IF($B$24="YES",OfferReferral,OfferReady)</f>
        <v>OFFER_READY_FOR_POLICY</v>
      </c>
      <c r="I24" s="27"/>
      <c r="J24" s="27"/>
      <c r="K24" s="27"/>
      <c r="L24" s="27"/>
      <c r="N24" s="100" t="s">
        <v>4378</v>
      </c>
      <c r="O24" s="134"/>
    </row>
    <row r="25" spans="1:15" ht="30">
      <c r="A25" s="47" t="str">
        <f>Fragenkatalog!A27</f>
        <v>Wurden in den letzten 2 Jahren außerhalb des Straßenverkehrs Straf- oder Ordnungswidrigkeitenverfahren gegen den Versicherungsnehmer, das Unternehmen oder einzelne Mitarbeiter durchgeführt?</v>
      </c>
      <c r="B25" s="48">
        <f>Fragenkatalog!B27</f>
        <v>0</v>
      </c>
      <c r="C25" s="27" t="str">
        <f>IF($B$25="YES",OfferReferral,OfferReady)</f>
        <v>OFFER_READY_FOR_POLICY</v>
      </c>
      <c r="D25" s="49"/>
      <c r="E25" s="49"/>
      <c r="F25" s="27"/>
      <c r="G25" s="27"/>
      <c r="H25" s="95" t="str">
        <f>IF($B$25="YES",OfferReferral,OfferReady)</f>
        <v>OFFER_READY_FOR_POLICY</v>
      </c>
      <c r="I25" s="27"/>
      <c r="J25" s="27"/>
      <c r="K25" s="27"/>
      <c r="L25" s="27"/>
      <c r="N25" s="100" t="s">
        <v>4379</v>
      </c>
      <c r="O25" s="134"/>
    </row>
    <row r="26" spans="1:15">
      <c r="A26" s="47" t="str">
        <f>Fragenkatalog!A28</f>
        <v>Sind solche Verfahren anhängig?</v>
      </c>
      <c r="B26" s="48">
        <f>Fragenkatalog!B28</f>
        <v>0</v>
      </c>
      <c r="C26" s="27" t="str">
        <f>IF($B$26="YES",OfferReferral,OfferReady)</f>
        <v>OFFER_READY_FOR_POLICY</v>
      </c>
      <c r="D26" s="49"/>
      <c r="E26" s="49"/>
      <c r="F26" s="27"/>
      <c r="G26" s="27"/>
      <c r="H26" s="95" t="str">
        <f>IF($B$26="YES",OfferReferral,OfferReady)</f>
        <v>OFFER_READY_FOR_POLICY</v>
      </c>
      <c r="I26" s="27"/>
      <c r="J26" s="27"/>
      <c r="K26" s="27"/>
      <c r="L26" s="27"/>
      <c r="N26" s="100" t="s">
        <v>4380</v>
      </c>
      <c r="O26" s="134"/>
    </row>
    <row r="27" spans="1:15">
      <c r="A27" s="47" t="str">
        <f>Fragenkatalog!A29</f>
        <v>Sind Umstände bekannt, die auf ein anstehendes Ermittlungs- oder Strafverfahren hinweisen?</v>
      </c>
      <c r="B27" s="48">
        <f>Fragenkatalog!B29</f>
        <v>0</v>
      </c>
      <c r="C27" s="27" t="str">
        <f>IF($B$27="YES",OfferReferral,OfferReady)</f>
        <v>OFFER_READY_FOR_POLICY</v>
      </c>
      <c r="D27" s="49"/>
      <c r="E27" s="49"/>
      <c r="F27" s="27"/>
      <c r="G27" s="27"/>
      <c r="H27" s="95" t="str">
        <f>IF($B$27="YES",OfferReferral,OfferReady)</f>
        <v>OFFER_READY_FOR_POLICY</v>
      </c>
      <c r="I27" s="27"/>
      <c r="J27" s="27"/>
      <c r="K27" s="27"/>
      <c r="L27" s="27"/>
      <c r="N27" s="101" t="s">
        <v>4381</v>
      </c>
      <c r="O27" s="136"/>
    </row>
    <row r="28" spans="1:15" ht="30">
      <c r="A28" s="47" t="str">
        <f>Fragenkatalog!A30</f>
        <v>Vom Antragssteller bzw. im Konzern der Versicherungsnehmerin wird eine Tätigkeit gemäß § 1 (1) KWG oder § 1 VAG (Bank- oder Versicherungsgeschäfte oder sonstige Finanzdienstleistungen) erbracht.</v>
      </c>
      <c r="B28" s="48">
        <f>RisikoFrageQ5a</f>
        <v>0</v>
      </c>
      <c r="C28" s="27" t="str">
        <f>IF($B$28="YES",OfferReferral,OfferReady)</f>
        <v>OFFER_READY_FOR_POLICY</v>
      </c>
      <c r="D28" s="49"/>
      <c r="E28" s="49"/>
      <c r="F28" s="27" t="str">
        <f>IF($B$28="YES",",CumEx:group-hpst-rol","")</f>
        <v/>
      </c>
      <c r="G28" s="27"/>
      <c r="H28" s="95" t="str">
        <f>IF($B$28="YES",OfferReferral,OfferReady)</f>
        <v>OFFER_READY_FOR_POLICY</v>
      </c>
      <c r="I28" s="27"/>
      <c r="J28" s="27"/>
      <c r="K28" s="27"/>
      <c r="L28" s="27"/>
      <c r="N28" s="100" t="s">
        <v>4382</v>
      </c>
      <c r="O28" s="134"/>
    </row>
    <row r="29" spans="1:15">
      <c r="A29" s="47" t="str">
        <f>Fragenkatalog!A31</f>
        <v>Ist eines der zu versichernden Unternehmen in einer oder mehrerer der folgenden Branchen tätig?</v>
      </c>
      <c r="B29" s="48">
        <f>RisikoFrageQ5b</f>
        <v>0</v>
      </c>
      <c r="C29" s="27" t="str">
        <f>IF($B$29="YES",OfferReferral,OfferReady)</f>
        <v>OFFER_READY_FOR_POLICY</v>
      </c>
      <c r="D29" s="49"/>
      <c r="E29" s="49"/>
      <c r="F29" s="27"/>
      <c r="G29" s="27"/>
      <c r="H29" s="95" t="str">
        <f>IF($B$29="YES",OfferReferral,OfferReady)</f>
        <v>OFFER_READY_FOR_POLICY</v>
      </c>
      <c r="I29" s="27"/>
      <c r="J29" s="27"/>
      <c r="K29" s="27"/>
      <c r="L29" s="27"/>
      <c r="N29" s="101" t="s">
        <v>4383</v>
      </c>
      <c r="O29" s="136"/>
    </row>
    <row r="30" spans="1:15">
      <c r="A30" s="47" t="str">
        <f>Fragenkatalog!A32</f>
        <v>Wird Gefahrgut transportiert oder gelagert?</v>
      </c>
      <c r="B30" s="48">
        <f>RisikoFrageQ6</f>
        <v>0</v>
      </c>
      <c r="C30" s="27"/>
      <c r="D30" s="49"/>
      <c r="E30" s="49">
        <f>IF(B30="YES",30,0)</f>
        <v>0</v>
      </c>
      <c r="F30" s="27"/>
      <c r="G30" s="27"/>
      <c r="H30" s="95"/>
      <c r="I30" s="27"/>
      <c r="J30" s="27"/>
      <c r="K30" s="27"/>
      <c r="L30" s="27"/>
      <c r="N30" s="100"/>
      <c r="O30" s="134"/>
    </row>
    <row r="31" spans="1:15" ht="30">
      <c r="A31" s="47" t="str">
        <f>Fragenkatalog!A33</f>
        <v>Sind Umstände bekannt, die auf die Einleitung von Verfahren aufgrund von Preis - und/oder Ausschreibungsabsprachen hindeuten?</v>
      </c>
      <c r="B31" s="48">
        <f>Fragenkatalog!B33</f>
        <v>0</v>
      </c>
      <c r="C31" s="27"/>
      <c r="D31" s="27" t="str">
        <f>IF(B31="YES",OfferReferral,OfferReady)</f>
        <v>OFFER_READY_FOR_POLICY</v>
      </c>
      <c r="E31" s="49"/>
      <c r="F31" s="27"/>
      <c r="G31" s="27"/>
      <c r="H31" s="95"/>
      <c r="I31" s="27"/>
      <c r="J31" s="27"/>
      <c r="K31" s="27"/>
      <c r="L31" s="27"/>
      <c r="N31" s="101"/>
      <c r="O31" s="136" t="s">
        <v>4384</v>
      </c>
    </row>
    <row r="32" spans="1:15" ht="45">
      <c r="A32" s="47" t="str">
        <f>Fragenkatalog!A34</f>
        <v>Wurden in den letzten zwei Jahren Verfahren gegen den Versicherungsnehmer, das Unternehmen (auch Tochter- und Beteiligungsunternehmen) oder einzelne Mitarbeiter aufgrund von Preis - und/oder Ausschreibungsabsprachen eingeleitet?</v>
      </c>
      <c r="B32" s="48">
        <f>Fragenkatalog!B34</f>
        <v>0</v>
      </c>
      <c r="C32" s="27"/>
      <c r="D32" s="27" t="str">
        <f>IF(B32="YES",OfferReferral,OfferReady)</f>
        <v>OFFER_READY_FOR_POLICY</v>
      </c>
      <c r="E32" s="49"/>
      <c r="F32" s="27"/>
      <c r="G32" s="27"/>
      <c r="H32" s="95"/>
      <c r="I32" s="27"/>
      <c r="J32" s="27"/>
      <c r="K32" s="27"/>
      <c r="L32" s="27"/>
      <c r="N32" s="101"/>
      <c r="O32" s="136" t="s">
        <v>4385</v>
      </c>
    </row>
    <row r="33" spans="1:15" ht="30">
      <c r="A33" s="47" t="str">
        <f>Fragenkatalog!A35</f>
        <v>Hat der Versicherungsnehmer Tochtergesellschaften in den USA, China, Indien, Südkorea, Brasilien, Südafrika, Japan, Australien oder in der Schweiz?</v>
      </c>
      <c r="B33" s="48">
        <f>Fragenkatalog!B35</f>
        <v>0</v>
      </c>
      <c r="C33" s="27"/>
      <c r="D33" s="27" t="str">
        <f>IF(B33="YES",OfferReferral,OfferReady)</f>
        <v>OFFER_READY_FOR_POLICY</v>
      </c>
      <c r="E33" s="49"/>
      <c r="F33" s="27"/>
      <c r="G33" s="27"/>
      <c r="H33" s="95"/>
      <c r="I33" s="27"/>
      <c r="J33" s="27"/>
      <c r="K33" s="27"/>
      <c r="L33" s="27"/>
      <c r="N33" s="101"/>
      <c r="O33" s="136" t="s">
        <v>4386</v>
      </c>
    </row>
    <row r="34" spans="1:15">
      <c r="A34" s="47" t="s">
        <v>4788</v>
      </c>
      <c r="B34" s="50" cm="1">
        <f t="array" ref="B34">CoInsuredCompaniesExist</f>
        <v>0</v>
      </c>
      <c r="C34" s="27" t="str">
        <f>IF(AND($B$14="EWR",$B$34=TRUE),OfferReferral,OfferReady)</f>
        <v>OFFER_READY_FOR_POLICY</v>
      </c>
      <c r="D34" s="49"/>
      <c r="E34" s="49"/>
      <c r="F34" s="27" t="str">
        <f>IF($B$34=TRUE,",hpst_mitversicherte_unternehmen:group-hpst-1","")</f>
        <v/>
      </c>
      <c r="G34" s="27"/>
      <c r="H34" s="27" t="str">
        <f>IF(AND($B$14="EWR",$B$34=TRUE),OfferReferral,OfferReady)</f>
        <v>OFFER_READY_FOR_POLICY</v>
      </c>
      <c r="I34" s="27"/>
      <c r="J34" s="27"/>
      <c r="K34" s="152"/>
      <c r="L34" s="152"/>
      <c r="N34" s="100" t="s">
        <v>4789</v>
      </c>
      <c r="O34" s="134"/>
    </row>
    <row r="35" spans="1:15">
      <c r="A35" s="87" t="s">
        <v>4471</v>
      </c>
      <c r="B35" s="126"/>
      <c r="C35" s="27" t="e">
        <f>VLOOKUP(rolandRiskManagerGlobalState,'Listen-Daten'!$Q$2:$R$4,2,0)</f>
        <v>#N/A</v>
      </c>
      <c r="D35" s="27"/>
      <c r="E35" s="49"/>
      <c r="F35" s="27"/>
      <c r="G35" s="27"/>
      <c r="H35" s="95" t="e">
        <f>VLOOKUP(aragRiskManagerGlobalState,'Listen-Daten'!$Q$2:$R$4,2,0)</f>
        <v>#N/A</v>
      </c>
      <c r="I35" s="27"/>
      <c r="J35" s="27"/>
      <c r="K35" s="27"/>
      <c r="L35" s="27"/>
      <c r="N35" s="101" t="s">
        <v>4471</v>
      </c>
      <c r="O35" s="136"/>
    </row>
    <row r="36" spans="1:15">
      <c r="A36" s="53" t="s">
        <v>4387</v>
      </c>
      <c r="B36" s="54"/>
      <c r="C36" s="55"/>
      <c r="D36" s="56"/>
      <c r="E36" s="56"/>
      <c r="F36" s="55" t="s">
        <v>4388</v>
      </c>
      <c r="G36" s="55"/>
      <c r="H36" s="96"/>
      <c r="I36" s="55"/>
      <c r="J36" s="55"/>
      <c r="K36" s="55"/>
      <c r="L36" s="55"/>
      <c r="N36" s="100"/>
      <c r="O36" s="134"/>
    </row>
    <row r="37" spans="1:15">
      <c r="B37" s="57"/>
      <c r="C37" s="55" t="str">
        <f ca="1">IF(COUNTIF(C3:C35,OfferDeclined), OfferDeclined,IF(COUNTIF(C3:C35,OfferReferralNoPremium),OfferReferralNoPremium,IF(COUNTIF(C3:C35,OfferReferral),OfferReferral,OfferReady)))</f>
        <v>OFFER_REFERRAL_NO_PREMIUM</v>
      </c>
      <c r="D37" s="56" t="str">
        <f>IF(COUNTIF(D3:D33,OfferReferralNoPremium),OfferReferralNoPremium,IF(COUNTIF(D3:D33,OfferReferral),OfferReferral,OfferReady))</f>
        <v>OFFER_READY_FOR_POLICY</v>
      </c>
      <c r="E37" s="56">
        <f>(100+$E$8)*(100+$E$30)/10000</f>
        <v>1</v>
      </c>
      <c r="F37" s="55" t="str">
        <f>CONCATENATE(F15,F20,F28,F34,F36)</f>
        <v>,hpst_geltungsbereich_2:hpst_rol-2,hpst_kartellrecht:group-hpst-1</v>
      </c>
      <c r="G37" s="55"/>
      <c r="H37" s="96" t="str">
        <f ca="1">IF(COUNTIF(H3:H35,OfferDeclined), OfferDeclined,IF(COUNTIF(H3:H35,OfferReferral),OfferReferral,OfferReady))</f>
        <v>OFFER_REFERRAL</v>
      </c>
      <c r="I37" s="56" t="str">
        <f>IF(COUNTIF(I3:I33,OfferReferral),OfferReferral,OfferReady)</f>
        <v>OFFER_READY_FOR_POLICY</v>
      </c>
      <c r="J37" s="56">
        <f>(100+$J$8)*(100+$J$30)/10000</f>
        <v>1</v>
      </c>
      <c r="K37" s="55"/>
      <c r="L37" s="55"/>
      <c r="N37" s="46"/>
    </row>
    <row r="38" spans="1:15">
      <c r="B38" s="35">
        <f>Fragenkatalog!B23</f>
        <v>0</v>
      </c>
      <c r="H38" s="97"/>
      <c r="N38" s="146"/>
    </row>
    <row r="39" spans="1:15">
      <c r="A39" s="58"/>
      <c r="B39" s="58"/>
      <c r="C39" s="102" t="s">
        <v>35</v>
      </c>
      <c r="D39" s="102" t="s">
        <v>36</v>
      </c>
      <c r="E39" s="102" t="s">
        <v>4389</v>
      </c>
      <c r="F39" s="102" t="s">
        <v>42</v>
      </c>
      <c r="G39" s="102" t="s">
        <v>4390</v>
      </c>
      <c r="H39" s="59" t="s">
        <v>35</v>
      </c>
      <c r="I39" s="59" t="s">
        <v>36</v>
      </c>
      <c r="J39" s="59" t="s">
        <v>4389</v>
      </c>
      <c r="K39" s="59" t="s">
        <v>42</v>
      </c>
      <c r="L39" s="59" t="s">
        <v>4390</v>
      </c>
      <c r="N39" s="46"/>
    </row>
    <row r="40" spans="1:15">
      <c r="A40" s="23" t="s">
        <v>43</v>
      </c>
      <c r="B40" s="23" t="str">
        <f>CONCATENATE(limit1, " / ", sublimit1)</f>
        <v xml:space="preserve"> / </v>
      </c>
      <c r="C40" s="27" t="str">
        <f>IF(limit1&gt;2000000,OfferReferral,OfferReady)</f>
        <v>OFFER_READY_FOR_POLICY</v>
      </c>
      <c r="D40" s="49" t="str">
        <f>IF(AND(sublimit1&gt;0, ISNUMBER(MATCH(B8,'SIC-TAW-Codes'!Q:Q,0))),OfferReferralNoPremium,IF(sublimit1&gt;150000,OfferReferral,D37))</f>
        <v>OFFER_READY_FOR_POLICY</v>
      </c>
      <c r="E40" s="27" t="str">
        <f>IF(ISNUMBER('Prämie - Roland'!D25),OfferReady,OfferReferralNoPremium)</f>
        <v>OFFER_REFERRAL_NO_PREMIUM</v>
      </c>
      <c r="F40" s="151"/>
      <c r="G40" s="55" t="str">
        <f ca="1">IF(OR(C$37=OfferDeclined,C40=OfferDeclined,D40=OfferDeclined,E40=OfferDeclined),OfferDeclined,IF(OR(C$37=OfferReferralNoPremium,C40=OfferReferralNoPremium,D40=OfferReferralNoPremium,E40=OfferReferralNoPremium),OfferReferralNoPremium,IF(OR(C$37=OfferReferral,C40=OfferReferral,D40=OfferReferral,E40=OfferReferral),OfferReferral,OfferReady)))</f>
        <v>OFFER_REFERRAL_NO_PREMIUM</v>
      </c>
      <c r="H40" s="153" t="str">
        <f>IF(limit1&gt;1500000,OfferReferral,OfferReady)</f>
        <v>OFFER_READY_FOR_POLICY</v>
      </c>
      <c r="I40" s="151" t="str">
        <f>IF(sublimit1&gt;0,OfferReferral,OfferReady)</f>
        <v>OFFER_READY_FOR_POLICY</v>
      </c>
      <c r="J40" s="151" t="str">
        <f>IF(ISNUMBER('Prämie - Arag'!D25),OfferReady,OfferReferral)</f>
        <v>OFFER_REFERRAL</v>
      </c>
      <c r="K40" s="88" t="str">
        <f>IF(limit1&gt;2000000,",hpst_arag_ZweifachMaximierung:group-hpst-1","")</f>
        <v/>
      </c>
      <c r="L40" s="55" t="str">
        <f t="shared" ref="L40:L45" ca="1" si="0">IF(OR(H$37=OfferDeclined,H40=OfferDeclined,I40=OfferDeclined,J40=OfferDeclined),OfferDeclined,IF(OR(H$37=OfferReferral,H40=OfferReferral,I40=OfferReferral,J40=OfferReferral),OfferReferral,OfferReady))</f>
        <v>OFFER_REFERRAL</v>
      </c>
      <c r="N40" s="46"/>
    </row>
    <row r="41" spans="1:15">
      <c r="A41" s="23" t="s">
        <v>45</v>
      </c>
      <c r="B41" s="23" t="str">
        <f>CONCATENATE(limit1)</f>
        <v/>
      </c>
      <c r="C41" s="27" t="str">
        <f>IF(limit1&gt;2000000,OfferReferral,OfferReady)</f>
        <v>OFFER_READY_FOR_POLICY</v>
      </c>
      <c r="D41" s="27"/>
      <c r="E41" s="27" t="str">
        <f>IF(ISNUMBER('Prämie - Roland'!D26),OfferReady,OfferReferralNoPremium)</f>
        <v>OFFER_REFERRAL_NO_PREMIUM</v>
      </c>
      <c r="F41" s="151"/>
      <c r="G41" s="55" t="str">
        <f ca="1">IF(OR(C$37=OfferDeclined,C40=OfferDeclined,D40=OfferDeclined,E40=OfferDeclined),OfferDeclined,IF(OR(C$37=OfferReferralNoPremium,C41=OfferReferralNoPremium,D41=OfferReferralNoPremium,E41=OfferReferralNoPremium),OfferReferralNoPremium,IF(OR(C$37=OfferReferral,C41=OfferReferral,D41=OfferReferral,E41=OfferReferral),OfferReferral,OfferReady)))</f>
        <v>OFFER_REFERRAL_NO_PREMIUM</v>
      </c>
      <c r="H41" s="153" t="str">
        <f>IF(limit1&gt;1500000,OfferReferral,OfferReady)</f>
        <v>OFFER_READY_FOR_POLICY</v>
      </c>
      <c r="I41" s="151"/>
      <c r="J41" s="151" t="str">
        <f>IF(ISNUMBER('Prämie - Arag'!D26),OfferReady,OfferReferral)</f>
        <v>OFFER_REFERRAL</v>
      </c>
      <c r="K41" s="88" t="str">
        <f>IF(limit1&gt;2000000,",hpst_arag_ZweifachMaximierung:group-hpst-1","")</f>
        <v/>
      </c>
      <c r="L41" s="55" t="str">
        <f t="shared" ca="1" si="0"/>
        <v>OFFER_REFERRAL</v>
      </c>
      <c r="N41" s="46"/>
    </row>
    <row r="42" spans="1:15">
      <c r="A42" s="23" t="s">
        <v>46</v>
      </c>
      <c r="B42" s="23" t="str">
        <f>CONCATENATE(limit2, " / ", sublimit2)</f>
        <v xml:space="preserve"> / </v>
      </c>
      <c r="C42" s="27" t="str">
        <f>IF(limit2&gt;2000000,OfferReferral,OfferReady)</f>
        <v>OFFER_READY_FOR_POLICY</v>
      </c>
      <c r="D42" s="49" t="str">
        <f>IF(AND(sublimit2&gt;0, ISNUMBER(MATCH(B8,'SIC-TAW-Codes'!Q:Q,0))),OfferReferralNoPremium,IF(sublimit2&gt;150000,OfferReferral,D37))</f>
        <v>OFFER_READY_FOR_POLICY</v>
      </c>
      <c r="E42" s="27" t="str">
        <f>IF(ISNUMBER('Prämie - Roland'!D27),OfferReady,OfferReferralNoPremium)</f>
        <v>OFFER_REFERRAL_NO_PREMIUM</v>
      </c>
      <c r="F42" s="151"/>
      <c r="G42" s="55" t="str">
        <f ca="1">IF(OR(C$37=OfferDeclined,C40=OfferDeclined,D40=OfferDeclined,E40=OfferDeclined),OfferDeclined,IF(OR(C$37=OfferReferralNoPremium,C42=OfferReferralNoPremium,D42=OfferReferralNoPremium,E42=OfferReferralNoPremium),OfferReferralNoPremium,IF(OR(C$37=OfferReferral,C42=OfferReferral,D42=OfferReferral,E42=OfferReferral),OfferReferral,OfferReady)))</f>
        <v>OFFER_REFERRAL_NO_PREMIUM</v>
      </c>
      <c r="H42" s="153" t="str">
        <f>IF(limit2&gt;1500000,OfferReferral,OfferReady)</f>
        <v>OFFER_READY_FOR_POLICY</v>
      </c>
      <c r="I42" s="151" t="str">
        <f>IF(sublimit2&gt;0,OfferReferral,OfferReady)</f>
        <v>OFFER_READY_FOR_POLICY</v>
      </c>
      <c r="J42" s="151" t="str">
        <f>IF(ISNUMBER('Prämie - Arag'!D27),OfferReady,OfferReferral)</f>
        <v>OFFER_REFERRAL</v>
      </c>
      <c r="K42" s="88" t="str">
        <f>IF(limit2&gt;2000000,",hpst_arag_ZweifachMaximierung:group-hpst-1","")</f>
        <v/>
      </c>
      <c r="L42" s="55" t="str">
        <f t="shared" ca="1" si="0"/>
        <v>OFFER_REFERRAL</v>
      </c>
      <c r="N42" s="46"/>
    </row>
    <row r="43" spans="1:15">
      <c r="A43" s="23" t="s">
        <v>47</v>
      </c>
      <c r="B43" s="23" t="str">
        <f>CONCATENATE(limit2)</f>
        <v/>
      </c>
      <c r="C43" s="27" t="str">
        <f>IF(limit2&gt;2000000,OfferReferral,OfferReady)</f>
        <v>OFFER_READY_FOR_POLICY</v>
      </c>
      <c r="D43" s="27"/>
      <c r="E43" s="27" t="str">
        <f>IF(ISNUMBER('Prämie - Roland'!D28),OfferReady,OfferReferralNoPremium)</f>
        <v>OFFER_REFERRAL_NO_PREMIUM</v>
      </c>
      <c r="F43" s="151"/>
      <c r="G43" s="55" t="str">
        <f ca="1">IF(OR(C$37=OfferDeclined,C40=OfferDeclined,D40=OfferDeclined,E40=OfferDeclined),OfferDeclined,IF(OR(C$37=OfferReferralNoPremium,C43=OfferReferralNoPremium,D43=OfferReferralNoPremium,E43=OfferReferralNoPremium),OfferReferralNoPremium,IF(OR(C$37=OfferReferral,C43=OfferReferral,D43=OfferReferral,E43=OfferReferral),OfferReferral,OfferReady)))</f>
        <v>OFFER_REFERRAL_NO_PREMIUM</v>
      </c>
      <c r="H43" s="153" t="str">
        <f>IF(limit2&gt;1500000,OfferReferral,OfferReady)</f>
        <v>OFFER_READY_FOR_POLICY</v>
      </c>
      <c r="I43" s="151"/>
      <c r="J43" s="151" t="str">
        <f>IF(ISNUMBER('Prämie - Arag'!D28),OfferReady,OfferReferral)</f>
        <v>OFFER_REFERRAL</v>
      </c>
      <c r="K43" s="88" t="str">
        <f>IF(limit2&gt;2000000,",hpst_arag_ZweifachMaximierung:group-hpst-1","")</f>
        <v/>
      </c>
      <c r="L43" s="55" t="str">
        <f t="shared" ca="1" si="0"/>
        <v>OFFER_REFERRAL</v>
      </c>
      <c r="N43" s="46"/>
    </row>
    <row r="44" spans="1:15">
      <c r="A44" s="23" t="s">
        <v>48</v>
      </c>
      <c r="B44" s="23" t="str">
        <f>CONCATENATE(limit3, " / ", sublimit3)</f>
        <v xml:space="preserve"> / </v>
      </c>
      <c r="C44" s="27" t="str">
        <f>IF(limit3&gt;2000000,OfferReferral,OfferReady)</f>
        <v>OFFER_READY_FOR_POLICY</v>
      </c>
      <c r="D44" s="49" t="str">
        <f>IF(AND(sublimit3&gt;0, ISNUMBER(MATCH(B8,'SIC-TAW-Codes'!Q:Q,0))),OfferReferralNoPremium,IF(sublimit3&gt;150000,OfferReferral,D37))</f>
        <v>OFFER_READY_FOR_POLICY</v>
      </c>
      <c r="E44" s="27" t="str">
        <f>IF(ISNUMBER('Prämie - Roland'!D29),OfferReady,OfferReferralNoPremium)</f>
        <v>OFFER_REFERRAL_NO_PREMIUM</v>
      </c>
      <c r="F44" s="151"/>
      <c r="G44" s="55" t="str">
        <f ca="1">IF(OR(C$37=OfferDeclined,C40=OfferDeclined,D40=OfferDeclined,E40=OfferDeclined),OfferDeclined,IF(OR(C$37=OfferReferralNoPremium,C44=OfferReferralNoPremium,D44=OfferReferralNoPremium,E44=OfferReferralNoPremium),OfferReferralNoPremium,IF(OR(C$37=OfferReferral,C44=OfferReferral,D44=OfferReferral,F44=OfferReferral),OfferReferral,OfferReady)))</f>
        <v>OFFER_REFERRAL_NO_PREMIUM</v>
      </c>
      <c r="H44" s="153" t="str">
        <f>IF(limit3&gt;1500000,OfferReferral,OfferReady)</f>
        <v>OFFER_READY_FOR_POLICY</v>
      </c>
      <c r="I44" s="151" t="str">
        <f>IF(sublimit3&gt;0,OfferReferral,OfferReady)</f>
        <v>OFFER_READY_FOR_POLICY</v>
      </c>
      <c r="J44" s="151" t="str">
        <f>IF(ISNUMBER('Prämie - Arag'!D29),OfferReady,OfferReferral)</f>
        <v>OFFER_REFERRAL</v>
      </c>
      <c r="K44" s="88" t="str">
        <f>IF(limit3&gt;2000000,",hpst_arag_ZweifachMaximierung:group-hpst-1","")</f>
        <v/>
      </c>
      <c r="L44" s="55" t="str">
        <f t="shared" ca="1" si="0"/>
        <v>OFFER_REFERRAL</v>
      </c>
      <c r="N44" s="46"/>
    </row>
    <row r="45" spans="1:15">
      <c r="A45" s="23" t="s">
        <v>49</v>
      </c>
      <c r="B45" s="23" t="str">
        <f>CONCATENATE(limit3)</f>
        <v/>
      </c>
      <c r="C45" s="27" t="str">
        <f>IF(limit3&gt;2000000,OfferReferral,OfferReady)</f>
        <v>OFFER_READY_FOR_POLICY</v>
      </c>
      <c r="D45" s="27"/>
      <c r="E45" s="27" t="str">
        <f>IF(ISNUMBER('Prämie - Roland'!D30),OfferReady,OfferReferralNoPremium)</f>
        <v>OFFER_REFERRAL_NO_PREMIUM</v>
      </c>
      <c r="F45" s="151"/>
      <c r="G45" s="55" t="str">
        <f ca="1">IF(OR(C$37=OfferDeclined,C40=OfferDeclined,D40=OfferDeclined,E40=OfferDeclined),OfferDeclined,IF(OR(C$37=OfferReferralNoPremium,C45=OfferReferralNoPremium,D45=OfferReferralNoPremium,E45=OfferReferralNoPremium),OfferReferralNoPremium,IF(OR(C$37=OfferReferral,C45=OfferReferral,D45=OfferReferral,E45=OfferReferral),OfferReferral,OfferReady)))</f>
        <v>OFFER_REFERRAL_NO_PREMIUM</v>
      </c>
      <c r="H45" s="153" t="str">
        <f>IF(limit3&gt;1500000,OfferReferral,OfferReady)</f>
        <v>OFFER_READY_FOR_POLICY</v>
      </c>
      <c r="I45" s="151"/>
      <c r="J45" s="151" t="str">
        <f>IF(ISNUMBER('Prämie - Arag'!D30),OfferReady,OfferReferral)</f>
        <v>OFFER_REFERRAL</v>
      </c>
      <c r="K45" s="88" t="str">
        <f>IF(limit3&gt;2000000,",hpst_arag_ZweifachMaximierung:group-hpst-1","")</f>
        <v/>
      </c>
      <c r="L45" s="55" t="str">
        <f t="shared" ca="1" si="0"/>
        <v>OFFER_REFERRAL</v>
      </c>
      <c r="N45" s="46"/>
    </row>
    <row r="47" spans="1:15">
      <c r="B47" s="99" t="s">
        <v>4493</v>
      </c>
      <c r="C47" s="147" t="s">
        <v>4391</v>
      </c>
      <c r="D47" s="100" t="s">
        <v>4392</v>
      </c>
      <c r="E47" s="147" t="s">
        <v>4393</v>
      </c>
      <c r="H47" s="147" t="s">
        <v>4501</v>
      </c>
      <c r="I47" s="147" t="s">
        <v>4502</v>
      </c>
      <c r="J47" s="147" t="s">
        <v>4393</v>
      </c>
    </row>
    <row r="48" spans="1:15">
      <c r="A48" s="23" t="s">
        <v>4394</v>
      </c>
      <c r="B48" s="27" t="str">
        <f>IF(AND(OR(sublimit1&gt;0,sublimit2&gt;0,sublimit3&gt;0),ISNUMBER(MATCH(B8,'SIC-TAW-Codes'!Q:Q,0))),"YES","NO")</f>
        <v>NO</v>
      </c>
    </row>
  </sheetData>
  <mergeCells count="2">
    <mergeCell ref="C1:F1"/>
    <mergeCell ref="H1:K1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1"/>
  <sheetViews>
    <sheetView topLeftCell="J969" zoomScaleNormal="100" workbookViewId="0">
      <selection activeCell="C48" sqref="C48"/>
    </sheetView>
  </sheetViews>
  <sheetFormatPr baseColWidth="10" defaultColWidth="14.42578125" defaultRowHeight="15" customHeight="1"/>
  <cols>
    <col min="1" max="1" width="5.42578125" customWidth="1"/>
    <col min="2" max="2" width="23.85546875" customWidth="1"/>
    <col min="3" max="3" width="24.140625" bestFit="1" customWidth="1"/>
    <col min="5" max="5" width="6.42578125" customWidth="1"/>
    <col min="6" max="6" width="6" customWidth="1"/>
    <col min="7" max="7" width="34.85546875" customWidth="1"/>
    <col min="9" max="9" width="29.42578125" customWidth="1"/>
    <col min="12" max="12" width="101" customWidth="1"/>
    <col min="14" max="14" width="25.42578125" customWidth="1"/>
    <col min="18" max="18" width="21.85546875" bestFit="1" customWidth="1"/>
    <col min="20" max="20" width="18" customWidth="1"/>
    <col min="21" max="21" width="24.140625" bestFit="1" customWidth="1"/>
    <col min="25" max="25" width="51.140625" customWidth="1"/>
  </cols>
  <sheetData>
    <row r="1" spans="1:25" ht="15" customHeight="1">
      <c r="A1" s="195" t="s">
        <v>12</v>
      </c>
      <c r="B1" s="196"/>
      <c r="C1" s="140" t="s">
        <v>4496</v>
      </c>
      <c r="E1" s="195" t="s">
        <v>52</v>
      </c>
      <c r="F1" s="196"/>
      <c r="G1" s="196"/>
      <c r="I1" s="28" t="s">
        <v>53</v>
      </c>
      <c r="K1" s="28" t="s">
        <v>54</v>
      </c>
      <c r="L1" s="28" t="s">
        <v>55</v>
      </c>
      <c r="N1" s="28" t="s">
        <v>56</v>
      </c>
      <c r="O1" s="28" t="s">
        <v>57</v>
      </c>
      <c r="Q1" s="28" t="s">
        <v>4471</v>
      </c>
      <c r="R1" s="28" t="s">
        <v>53</v>
      </c>
      <c r="T1" s="90" t="s">
        <v>4477</v>
      </c>
      <c r="U1" s="28" t="s">
        <v>53</v>
      </c>
      <c r="X1" s="90" t="s">
        <v>4555</v>
      </c>
      <c r="Y1" s="28" t="s">
        <v>34</v>
      </c>
    </row>
    <row r="2" spans="1:25" ht="15" customHeight="1">
      <c r="A2" s="148" t="s">
        <v>4503</v>
      </c>
      <c r="B2" s="29" t="s">
        <v>58</v>
      </c>
      <c r="C2" s="141" t="s">
        <v>77</v>
      </c>
      <c r="E2" s="29" t="s">
        <v>59</v>
      </c>
      <c r="F2" s="30">
        <v>1</v>
      </c>
      <c r="G2" s="29" t="s">
        <v>60</v>
      </c>
      <c r="I2" s="29" t="s">
        <v>61</v>
      </c>
      <c r="K2" s="31" t="s">
        <v>62</v>
      </c>
      <c r="L2" s="31" t="s">
        <v>63</v>
      </c>
      <c r="N2" s="31" t="s">
        <v>64</v>
      </c>
      <c r="O2" s="31" t="s">
        <v>65</v>
      </c>
      <c r="Q2" s="31" t="s">
        <v>4472</v>
      </c>
      <c r="R2" s="29" t="s">
        <v>69</v>
      </c>
      <c r="T2" s="89" t="s">
        <v>4554</v>
      </c>
      <c r="U2" s="29" t="s">
        <v>69</v>
      </c>
      <c r="X2" s="191" t="s">
        <v>4682</v>
      </c>
      <c r="Y2" s="187" t="s">
        <v>4556</v>
      </c>
    </row>
    <row r="3" spans="1:25" ht="15" customHeight="1">
      <c r="A3" s="148" t="s">
        <v>4504</v>
      </c>
      <c r="B3" s="29" t="s">
        <v>66</v>
      </c>
      <c r="C3" s="141" t="s">
        <v>69</v>
      </c>
      <c r="E3" s="29" t="s">
        <v>67</v>
      </c>
      <c r="F3" s="30">
        <v>2</v>
      </c>
      <c r="G3" s="29" t="s">
        <v>68</v>
      </c>
      <c r="I3" s="29" t="s">
        <v>69</v>
      </c>
      <c r="K3" s="31" t="s">
        <v>70</v>
      </c>
      <c r="L3" s="31" t="s">
        <v>71</v>
      </c>
      <c r="N3" s="31" t="s">
        <v>72</v>
      </c>
      <c r="O3" s="31" t="s">
        <v>73</v>
      </c>
      <c r="Q3" s="31" t="s">
        <v>4473</v>
      </c>
      <c r="R3" s="29" t="s">
        <v>77</v>
      </c>
      <c r="T3" s="88" t="s">
        <v>4475</v>
      </c>
      <c r="U3" s="29" t="s">
        <v>77</v>
      </c>
      <c r="X3" s="191" t="s">
        <v>1914</v>
      </c>
      <c r="Y3" s="187" t="s">
        <v>4557</v>
      </c>
    </row>
    <row r="4" spans="1:25" ht="15" customHeight="1">
      <c r="A4" s="148" t="s">
        <v>4505</v>
      </c>
      <c r="B4" s="29" t="s">
        <v>74</v>
      </c>
      <c r="C4" s="141" t="s">
        <v>69</v>
      </c>
      <c r="E4" s="29" t="s">
        <v>75</v>
      </c>
      <c r="F4" s="30">
        <v>3</v>
      </c>
      <c r="G4" s="29" t="s">
        <v>76</v>
      </c>
      <c r="I4" s="29" t="s">
        <v>77</v>
      </c>
      <c r="K4" s="31" t="s">
        <v>78</v>
      </c>
      <c r="L4" s="31" t="s">
        <v>79</v>
      </c>
      <c r="Q4" s="31" t="s">
        <v>4474</v>
      </c>
      <c r="R4" s="29" t="s">
        <v>61</v>
      </c>
      <c r="T4" s="89" t="s">
        <v>4476</v>
      </c>
      <c r="U4" s="29" t="s">
        <v>61</v>
      </c>
      <c r="X4" s="191" t="s">
        <v>4683</v>
      </c>
      <c r="Y4" s="187" t="s">
        <v>4558</v>
      </c>
    </row>
    <row r="5" spans="1:25" ht="15" customHeight="1">
      <c r="A5" s="148" t="s">
        <v>4506</v>
      </c>
      <c r="B5" s="29" t="s">
        <v>80</v>
      </c>
      <c r="C5" s="141" t="s">
        <v>69</v>
      </c>
      <c r="E5" s="29" t="s">
        <v>81</v>
      </c>
      <c r="F5" s="30">
        <v>4</v>
      </c>
      <c r="G5" s="29" t="s">
        <v>82</v>
      </c>
      <c r="I5" s="29" t="s">
        <v>83</v>
      </c>
      <c r="K5" s="31" t="s">
        <v>84</v>
      </c>
      <c r="L5" s="31" t="s">
        <v>85</v>
      </c>
      <c r="X5" s="191" t="s">
        <v>4684</v>
      </c>
      <c r="Y5" s="187" t="s">
        <v>4559</v>
      </c>
    </row>
    <row r="6" spans="1:25" ht="15" customHeight="1">
      <c r="A6" s="148" t="s">
        <v>4507</v>
      </c>
      <c r="B6" s="29" t="s">
        <v>86</v>
      </c>
      <c r="C6" s="141" t="s">
        <v>69</v>
      </c>
      <c r="E6" s="29" t="s">
        <v>87</v>
      </c>
      <c r="F6" s="30">
        <v>5</v>
      </c>
      <c r="G6" s="29" t="s">
        <v>88</v>
      </c>
      <c r="K6" s="31" t="s">
        <v>89</v>
      </c>
      <c r="L6" s="31" t="s">
        <v>90</v>
      </c>
      <c r="X6" s="191" t="s">
        <v>4685</v>
      </c>
      <c r="Y6" s="187" t="s">
        <v>4560</v>
      </c>
    </row>
    <row r="7" spans="1:25" ht="15" customHeight="1">
      <c r="A7" s="148" t="s">
        <v>4508</v>
      </c>
      <c r="B7" s="29" t="s">
        <v>91</v>
      </c>
      <c r="C7" s="141" t="s">
        <v>69</v>
      </c>
      <c r="E7" s="29" t="s">
        <v>92</v>
      </c>
      <c r="F7" s="30">
        <v>6</v>
      </c>
      <c r="G7" s="29" t="s">
        <v>93</v>
      </c>
      <c r="K7" s="31" t="s">
        <v>94</v>
      </c>
      <c r="L7" s="31" t="s">
        <v>95</v>
      </c>
      <c r="X7" s="191" t="s">
        <v>4686</v>
      </c>
      <c r="Y7" s="187" t="s">
        <v>4561</v>
      </c>
    </row>
    <row r="8" spans="1:25" ht="15" customHeight="1">
      <c r="A8" s="148" t="s">
        <v>4509</v>
      </c>
      <c r="B8" s="29" t="s">
        <v>96</v>
      </c>
      <c r="C8" s="141" t="s">
        <v>69</v>
      </c>
      <c r="E8" s="29" t="s">
        <v>97</v>
      </c>
      <c r="F8" s="30">
        <v>7</v>
      </c>
      <c r="G8" s="29" t="s">
        <v>98</v>
      </c>
      <c r="K8" s="31" t="s">
        <v>99</v>
      </c>
      <c r="L8" s="31" t="s">
        <v>100</v>
      </c>
      <c r="X8" s="191" t="s">
        <v>4687</v>
      </c>
      <c r="Y8" s="187" t="s">
        <v>4562</v>
      </c>
    </row>
    <row r="9" spans="1:25" ht="15" customHeight="1">
      <c r="A9" s="148" t="s">
        <v>4510</v>
      </c>
      <c r="B9" s="29" t="s">
        <v>101</v>
      </c>
      <c r="C9" s="141" t="s">
        <v>69</v>
      </c>
      <c r="E9" s="29" t="s">
        <v>102</v>
      </c>
      <c r="F9" s="30">
        <v>8</v>
      </c>
      <c r="G9" s="29" t="s">
        <v>103</v>
      </c>
      <c r="K9" s="31" t="s">
        <v>104</v>
      </c>
      <c r="L9" s="31" t="s">
        <v>105</v>
      </c>
      <c r="X9" s="191" t="s">
        <v>1934</v>
      </c>
      <c r="Y9" s="187" t="s">
        <v>4563</v>
      </c>
    </row>
    <row r="10" spans="1:25" ht="15" customHeight="1">
      <c r="A10" s="148" t="s">
        <v>4511</v>
      </c>
      <c r="B10" s="29" t="s">
        <v>106</v>
      </c>
      <c r="C10" s="141" t="s">
        <v>77</v>
      </c>
      <c r="E10" s="29" t="s">
        <v>107</v>
      </c>
      <c r="F10" s="30">
        <v>9</v>
      </c>
      <c r="G10" s="29" t="s">
        <v>108</v>
      </c>
      <c r="K10" s="31" t="s">
        <v>109</v>
      </c>
      <c r="L10" s="31" t="s">
        <v>110</v>
      </c>
      <c r="X10" s="191" t="s">
        <v>1936</v>
      </c>
      <c r="Y10" s="187" t="s">
        <v>4564</v>
      </c>
    </row>
    <row r="11" spans="1:25" ht="15" customHeight="1">
      <c r="A11" s="148" t="s">
        <v>4512</v>
      </c>
      <c r="B11" s="29" t="s">
        <v>111</v>
      </c>
      <c r="C11" s="141" t="s">
        <v>77</v>
      </c>
      <c r="E11" s="29" t="s">
        <v>112</v>
      </c>
      <c r="F11" s="30">
        <v>10</v>
      </c>
      <c r="G11" s="29" t="s">
        <v>113</v>
      </c>
      <c r="K11" s="31" t="s">
        <v>114</v>
      </c>
      <c r="L11" s="31" t="s">
        <v>115</v>
      </c>
      <c r="X11" s="191" t="s">
        <v>4688</v>
      </c>
      <c r="Y11" s="187" t="s">
        <v>4565</v>
      </c>
    </row>
    <row r="12" spans="1:25" ht="15" customHeight="1">
      <c r="A12" s="148" t="s">
        <v>4513</v>
      </c>
      <c r="B12" s="29" t="s">
        <v>81</v>
      </c>
      <c r="C12" s="141" t="s">
        <v>61</v>
      </c>
      <c r="E12" s="29" t="s">
        <v>116</v>
      </c>
      <c r="F12" s="30">
        <v>11</v>
      </c>
      <c r="G12" s="29" t="s">
        <v>117</v>
      </c>
      <c r="K12" s="31" t="s">
        <v>118</v>
      </c>
      <c r="L12" s="31" t="s">
        <v>119</v>
      </c>
      <c r="X12" s="191" t="s">
        <v>1946</v>
      </c>
      <c r="Y12" s="187" t="s">
        <v>4566</v>
      </c>
    </row>
    <row r="13" spans="1:25" ht="15" customHeight="1">
      <c r="A13" s="148" t="s">
        <v>4514</v>
      </c>
      <c r="B13" s="29" t="s">
        <v>120</v>
      </c>
      <c r="C13" s="141" t="s">
        <v>61</v>
      </c>
      <c r="E13" s="29" t="s">
        <v>121</v>
      </c>
      <c r="F13" s="30">
        <v>12</v>
      </c>
      <c r="G13" s="29" t="s">
        <v>122</v>
      </c>
      <c r="K13" s="31" t="s">
        <v>123</v>
      </c>
      <c r="L13" s="31" t="s">
        <v>124</v>
      </c>
      <c r="X13" s="191" t="s">
        <v>4689</v>
      </c>
      <c r="Y13" s="187" t="s">
        <v>4567</v>
      </c>
    </row>
    <row r="14" spans="1:25" ht="15" customHeight="1">
      <c r="A14" s="148" t="s">
        <v>4515</v>
      </c>
      <c r="B14" s="29" t="s">
        <v>125</v>
      </c>
      <c r="C14" s="141" t="s">
        <v>77</v>
      </c>
      <c r="E14" s="29" t="s">
        <v>126</v>
      </c>
      <c r="F14" s="30">
        <v>13</v>
      </c>
      <c r="G14" s="29" t="s">
        <v>127</v>
      </c>
      <c r="K14" s="31" t="s">
        <v>128</v>
      </c>
      <c r="L14" s="31" t="s">
        <v>129</v>
      </c>
      <c r="X14" s="191" t="s">
        <v>4690</v>
      </c>
      <c r="Y14" s="187" t="s">
        <v>4568</v>
      </c>
    </row>
    <row r="15" spans="1:25" ht="15" customHeight="1">
      <c r="A15" s="148" t="s">
        <v>4516</v>
      </c>
      <c r="B15" s="29" t="s">
        <v>130</v>
      </c>
      <c r="C15" s="141" t="s">
        <v>69</v>
      </c>
      <c r="E15" s="29" t="s">
        <v>131</v>
      </c>
      <c r="F15" s="30">
        <v>14</v>
      </c>
      <c r="G15" s="29" t="s">
        <v>132</v>
      </c>
      <c r="K15" s="31" t="s">
        <v>133</v>
      </c>
      <c r="L15" s="31" t="s">
        <v>134</v>
      </c>
      <c r="X15" s="191" t="s">
        <v>1970</v>
      </c>
      <c r="Y15" s="187" t="s">
        <v>4569</v>
      </c>
    </row>
    <row r="16" spans="1:25" ht="15" customHeight="1">
      <c r="A16" s="148" t="s">
        <v>4517</v>
      </c>
      <c r="B16" s="29" t="s">
        <v>135</v>
      </c>
      <c r="C16" s="141" t="s">
        <v>69</v>
      </c>
      <c r="E16" s="29" t="s">
        <v>136</v>
      </c>
      <c r="F16" s="30">
        <v>15</v>
      </c>
      <c r="G16" s="29" t="s">
        <v>137</v>
      </c>
      <c r="K16" s="31" t="s">
        <v>138</v>
      </c>
      <c r="L16" s="31" t="s">
        <v>139</v>
      </c>
      <c r="X16" s="191" t="s">
        <v>4691</v>
      </c>
      <c r="Y16" s="187" t="s">
        <v>4570</v>
      </c>
    </row>
    <row r="17" spans="1:25" ht="15" customHeight="1">
      <c r="A17" s="148" t="s">
        <v>4518</v>
      </c>
      <c r="B17" s="29" t="s">
        <v>140</v>
      </c>
      <c r="C17" s="141" t="s">
        <v>77</v>
      </c>
      <c r="E17" s="29" t="s">
        <v>141</v>
      </c>
      <c r="F17" s="30">
        <v>16</v>
      </c>
      <c r="G17" s="29" t="s">
        <v>142</v>
      </c>
      <c r="K17" s="31" t="s">
        <v>143</v>
      </c>
      <c r="L17" s="31" t="s">
        <v>144</v>
      </c>
      <c r="X17" s="191" t="s">
        <v>4692</v>
      </c>
      <c r="Y17" s="187" t="s">
        <v>4571</v>
      </c>
    </row>
    <row r="18" spans="1:25" ht="15" customHeight="1">
      <c r="A18" s="148" t="s">
        <v>4519</v>
      </c>
      <c r="B18" s="29" t="s">
        <v>145</v>
      </c>
      <c r="C18" s="141" t="s">
        <v>61</v>
      </c>
      <c r="E18" s="29" t="s">
        <v>146</v>
      </c>
      <c r="F18" s="30">
        <v>17</v>
      </c>
      <c r="G18" s="29" t="s">
        <v>147</v>
      </c>
      <c r="K18" s="31" t="s">
        <v>148</v>
      </c>
      <c r="L18" s="31" t="s">
        <v>149</v>
      </c>
      <c r="X18" s="191" t="s">
        <v>2026</v>
      </c>
      <c r="Y18" s="187" t="s">
        <v>4572</v>
      </c>
    </row>
    <row r="19" spans="1:25" ht="15" customHeight="1">
      <c r="A19" s="148" t="s">
        <v>4520</v>
      </c>
      <c r="B19" s="29" t="s">
        <v>155</v>
      </c>
      <c r="C19" s="141" t="s">
        <v>61</v>
      </c>
      <c r="E19" s="29" t="s">
        <v>151</v>
      </c>
      <c r="F19" s="30">
        <v>18</v>
      </c>
      <c r="G19" s="29" t="s">
        <v>152</v>
      </c>
      <c r="K19" s="31" t="s">
        <v>153</v>
      </c>
      <c r="L19" s="31" t="s">
        <v>154</v>
      </c>
      <c r="X19" s="191" t="s">
        <v>4693</v>
      </c>
      <c r="Y19" s="187" t="s">
        <v>4573</v>
      </c>
    </row>
    <row r="20" spans="1:25" ht="15" customHeight="1">
      <c r="A20" s="148" t="s">
        <v>4521</v>
      </c>
      <c r="B20" s="29" t="s">
        <v>160</v>
      </c>
      <c r="C20" s="141" t="s">
        <v>61</v>
      </c>
      <c r="E20" s="29" t="s">
        <v>156</v>
      </c>
      <c r="F20" s="30">
        <v>19</v>
      </c>
      <c r="G20" s="29" t="s">
        <v>157</v>
      </c>
      <c r="K20" s="31" t="s">
        <v>158</v>
      </c>
      <c r="L20" s="31" t="s">
        <v>159</v>
      </c>
      <c r="X20" s="191" t="s">
        <v>4694</v>
      </c>
      <c r="Y20" s="187" t="s">
        <v>4574</v>
      </c>
    </row>
    <row r="21" spans="1:25" ht="15" customHeight="1">
      <c r="A21" s="148" t="s">
        <v>4522</v>
      </c>
      <c r="B21" s="29" t="s">
        <v>165</v>
      </c>
      <c r="C21" s="141" t="s">
        <v>77</v>
      </c>
      <c r="E21" s="29" t="s">
        <v>161</v>
      </c>
      <c r="F21" s="30">
        <v>20</v>
      </c>
      <c r="G21" s="29" t="s">
        <v>162</v>
      </c>
      <c r="K21" s="31" t="s">
        <v>163</v>
      </c>
      <c r="L21" s="31" t="s">
        <v>164</v>
      </c>
      <c r="X21" s="191" t="s">
        <v>4695</v>
      </c>
      <c r="Y21" s="187" t="s">
        <v>4575</v>
      </c>
    </row>
    <row r="22" spans="1:25" ht="15" customHeight="1">
      <c r="A22" s="148" t="s">
        <v>4523</v>
      </c>
      <c r="B22" s="29" t="s">
        <v>170</v>
      </c>
      <c r="C22" s="141" t="s">
        <v>69</v>
      </c>
      <c r="E22" s="29" t="s">
        <v>166</v>
      </c>
      <c r="F22" s="30">
        <v>21</v>
      </c>
      <c r="G22" s="29" t="s">
        <v>167</v>
      </c>
      <c r="K22" s="31" t="s">
        <v>168</v>
      </c>
      <c r="L22" s="31" t="s">
        <v>169</v>
      </c>
      <c r="X22" s="191" t="s">
        <v>4696</v>
      </c>
      <c r="Y22" s="187" t="s">
        <v>4576</v>
      </c>
    </row>
    <row r="23" spans="1:25" ht="15" customHeight="1">
      <c r="A23" s="148" t="s">
        <v>4524</v>
      </c>
      <c r="B23" s="29" t="s">
        <v>4545</v>
      </c>
      <c r="C23" s="141" t="s">
        <v>69</v>
      </c>
      <c r="E23" s="29" t="s">
        <v>171</v>
      </c>
      <c r="F23" s="30">
        <v>22</v>
      </c>
      <c r="G23" s="29" t="s">
        <v>172</v>
      </c>
      <c r="K23" s="31" t="s">
        <v>173</v>
      </c>
      <c r="L23" s="31" t="s">
        <v>174</v>
      </c>
      <c r="X23" s="191" t="s">
        <v>4697</v>
      </c>
      <c r="Y23" s="187" t="s">
        <v>4577</v>
      </c>
    </row>
    <row r="24" spans="1:25" ht="15" customHeight="1">
      <c r="A24" s="148" t="s">
        <v>4525</v>
      </c>
      <c r="B24" s="29" t="s">
        <v>179</v>
      </c>
      <c r="C24" s="141" t="s">
        <v>77</v>
      </c>
      <c r="E24" s="29" t="s">
        <v>175</v>
      </c>
      <c r="F24" s="30">
        <v>23</v>
      </c>
      <c r="G24" s="29" t="s">
        <v>176</v>
      </c>
      <c r="K24" s="31" t="s">
        <v>177</v>
      </c>
      <c r="L24" s="31" t="s">
        <v>178</v>
      </c>
      <c r="X24" s="191" t="s">
        <v>4698</v>
      </c>
      <c r="Y24" s="187" t="s">
        <v>4578</v>
      </c>
    </row>
    <row r="25" spans="1:25" ht="15" customHeight="1">
      <c r="A25" s="148" t="s">
        <v>4526</v>
      </c>
      <c r="B25" s="29" t="s">
        <v>184</v>
      </c>
      <c r="C25" s="141" t="s">
        <v>61</v>
      </c>
      <c r="E25" s="29" t="s">
        <v>180</v>
      </c>
      <c r="F25" s="30">
        <v>24</v>
      </c>
      <c r="G25" s="29" t="s">
        <v>181</v>
      </c>
      <c r="K25" s="31" t="s">
        <v>182</v>
      </c>
      <c r="L25" s="31" t="s">
        <v>183</v>
      </c>
      <c r="X25" s="191" t="s">
        <v>4699</v>
      </c>
      <c r="Y25" s="187" t="s">
        <v>4579</v>
      </c>
    </row>
    <row r="26" spans="1:25" ht="15" customHeight="1">
      <c r="A26" s="148" t="s">
        <v>4527</v>
      </c>
      <c r="B26" s="29" t="s">
        <v>189</v>
      </c>
      <c r="C26" s="141" t="s">
        <v>61</v>
      </c>
      <c r="E26" s="29" t="s">
        <v>185</v>
      </c>
      <c r="F26" s="30">
        <v>25</v>
      </c>
      <c r="G26" s="29" t="s">
        <v>186</v>
      </c>
      <c r="K26" s="31" t="s">
        <v>187</v>
      </c>
      <c r="L26" s="31" t="s">
        <v>188</v>
      </c>
      <c r="X26" s="191" t="s">
        <v>4700</v>
      </c>
      <c r="Y26" s="187" t="s">
        <v>4580</v>
      </c>
    </row>
    <row r="27" spans="1:25" ht="15" customHeight="1">
      <c r="A27" s="148" t="s">
        <v>4528</v>
      </c>
      <c r="B27" s="29" t="s">
        <v>194</v>
      </c>
      <c r="C27" s="141" t="s">
        <v>61</v>
      </c>
      <c r="E27" s="29" t="s">
        <v>190</v>
      </c>
      <c r="F27" s="30">
        <v>26</v>
      </c>
      <c r="G27" s="29" t="s">
        <v>191</v>
      </c>
      <c r="K27" s="31" t="s">
        <v>192</v>
      </c>
      <c r="L27" s="31" t="s">
        <v>193</v>
      </c>
      <c r="X27" s="191" t="s">
        <v>4701</v>
      </c>
      <c r="Y27" s="187" t="s">
        <v>4581</v>
      </c>
    </row>
    <row r="28" spans="1:25" ht="15" customHeight="1">
      <c r="A28" s="148" t="s">
        <v>4529</v>
      </c>
      <c r="B28" s="29" t="s">
        <v>199</v>
      </c>
      <c r="C28" s="141" t="s">
        <v>61</v>
      </c>
      <c r="E28" s="29" t="s">
        <v>195</v>
      </c>
      <c r="F28" s="30">
        <v>27</v>
      </c>
      <c r="G28" s="29" t="s">
        <v>196</v>
      </c>
      <c r="K28" s="31" t="s">
        <v>197</v>
      </c>
      <c r="L28" s="31" t="s">
        <v>198</v>
      </c>
      <c r="X28" s="191" t="s">
        <v>4702</v>
      </c>
      <c r="Y28" s="187" t="s">
        <v>4582</v>
      </c>
    </row>
    <row r="29" spans="1:25" ht="15" customHeight="1">
      <c r="A29" s="148" t="s">
        <v>4530</v>
      </c>
      <c r="B29" s="29" t="s">
        <v>204</v>
      </c>
      <c r="C29" s="141" t="s">
        <v>77</v>
      </c>
      <c r="E29" s="29" t="s">
        <v>200</v>
      </c>
      <c r="F29" s="30">
        <v>28</v>
      </c>
      <c r="G29" s="29" t="s">
        <v>201</v>
      </c>
      <c r="K29" s="31" t="s">
        <v>202</v>
      </c>
      <c r="L29" s="31" t="s">
        <v>203</v>
      </c>
      <c r="X29" s="191" t="s">
        <v>4703</v>
      </c>
      <c r="Y29" s="187" t="s">
        <v>4583</v>
      </c>
    </row>
    <row r="30" spans="1:25" ht="15" customHeight="1">
      <c r="A30" s="148" t="s">
        <v>4531</v>
      </c>
      <c r="B30" s="29" t="s">
        <v>209</v>
      </c>
      <c r="C30" s="141" t="s">
        <v>77</v>
      </c>
      <c r="E30" s="29" t="s">
        <v>205</v>
      </c>
      <c r="F30" s="30">
        <v>29</v>
      </c>
      <c r="G30" s="29" t="s">
        <v>206</v>
      </c>
      <c r="K30" s="31" t="s">
        <v>207</v>
      </c>
      <c r="L30" s="31" t="s">
        <v>208</v>
      </c>
      <c r="X30" s="191" t="s">
        <v>4704</v>
      </c>
      <c r="Y30" s="187" t="s">
        <v>4584</v>
      </c>
    </row>
    <row r="31" spans="1:25" ht="15" customHeight="1">
      <c r="A31" s="148" t="s">
        <v>4532</v>
      </c>
      <c r="B31" s="29" t="s">
        <v>214</v>
      </c>
      <c r="C31" s="141" t="s">
        <v>77</v>
      </c>
      <c r="E31" s="29" t="s">
        <v>210</v>
      </c>
      <c r="F31" s="30">
        <v>30</v>
      </c>
      <c r="G31" s="29" t="s">
        <v>211</v>
      </c>
      <c r="K31" s="31" t="s">
        <v>212</v>
      </c>
      <c r="L31" s="31" t="s">
        <v>213</v>
      </c>
      <c r="X31" s="191" t="s">
        <v>4705</v>
      </c>
      <c r="Y31" s="187" t="s">
        <v>4585</v>
      </c>
    </row>
    <row r="32" spans="1:25" ht="15" customHeight="1">
      <c r="A32" s="148" t="s">
        <v>4533</v>
      </c>
      <c r="B32" s="29" t="s">
        <v>219</v>
      </c>
      <c r="C32" s="141" t="s">
        <v>77</v>
      </c>
      <c r="E32" s="29" t="s">
        <v>215</v>
      </c>
      <c r="F32" s="30">
        <v>31</v>
      </c>
      <c r="G32" s="29" t="s">
        <v>216</v>
      </c>
      <c r="K32" s="31" t="s">
        <v>217</v>
      </c>
      <c r="L32" s="31" t="s">
        <v>218</v>
      </c>
      <c r="X32" s="191" t="s">
        <v>4706</v>
      </c>
      <c r="Y32" s="187" t="s">
        <v>4586</v>
      </c>
    </row>
    <row r="33" spans="1:25" ht="15" customHeight="1">
      <c r="A33" s="148" t="s">
        <v>4534</v>
      </c>
      <c r="B33" s="29" t="s">
        <v>224</v>
      </c>
      <c r="C33" s="141" t="s">
        <v>77</v>
      </c>
      <c r="E33" s="29" t="s">
        <v>220</v>
      </c>
      <c r="F33" s="30">
        <v>32</v>
      </c>
      <c r="G33" s="29" t="s">
        <v>221</v>
      </c>
      <c r="K33" s="31" t="s">
        <v>222</v>
      </c>
      <c r="L33" s="31" t="s">
        <v>223</v>
      </c>
      <c r="X33" s="191" t="s">
        <v>4707</v>
      </c>
      <c r="Y33" s="187" t="s">
        <v>4587</v>
      </c>
    </row>
    <row r="34" spans="1:25" ht="15" customHeight="1">
      <c r="A34" s="148" t="s">
        <v>4535</v>
      </c>
      <c r="B34" s="29" t="s">
        <v>229</v>
      </c>
      <c r="C34" s="141" t="s">
        <v>77</v>
      </c>
      <c r="E34" s="29" t="s">
        <v>225</v>
      </c>
      <c r="F34" s="30">
        <v>33</v>
      </c>
      <c r="G34" s="29" t="s">
        <v>226</v>
      </c>
      <c r="K34" s="31" t="s">
        <v>227</v>
      </c>
      <c r="L34" s="31" t="s">
        <v>228</v>
      </c>
      <c r="X34" s="191" t="s">
        <v>4708</v>
      </c>
      <c r="Y34" s="187" t="s">
        <v>4588</v>
      </c>
    </row>
    <row r="35" spans="1:25" ht="15" customHeight="1">
      <c r="A35" s="148" t="s">
        <v>4536</v>
      </c>
      <c r="B35" s="29" t="s">
        <v>150</v>
      </c>
      <c r="C35" s="141" t="s">
        <v>61</v>
      </c>
      <c r="E35" s="29" t="s">
        <v>230</v>
      </c>
      <c r="F35" s="30">
        <v>34</v>
      </c>
      <c r="G35" s="29" t="s">
        <v>231</v>
      </c>
      <c r="K35" s="31" t="s">
        <v>232</v>
      </c>
      <c r="L35" s="31" t="s">
        <v>233</v>
      </c>
      <c r="X35" s="191" t="s">
        <v>4709</v>
      </c>
      <c r="Y35" s="187" t="s">
        <v>4589</v>
      </c>
    </row>
    <row r="36" spans="1:25" ht="15" customHeight="1">
      <c r="A36" s="148" t="s">
        <v>4537</v>
      </c>
      <c r="B36" s="29" t="s">
        <v>234</v>
      </c>
      <c r="C36" s="141" t="s">
        <v>77</v>
      </c>
      <c r="E36" s="29" t="s">
        <v>235</v>
      </c>
      <c r="F36" s="30">
        <v>35</v>
      </c>
      <c r="G36" s="29" t="s">
        <v>236</v>
      </c>
      <c r="K36" s="31" t="s">
        <v>237</v>
      </c>
      <c r="L36" s="31" t="s">
        <v>238</v>
      </c>
      <c r="X36" s="191" t="s">
        <v>4710</v>
      </c>
      <c r="Y36" s="187" t="s">
        <v>4590</v>
      </c>
    </row>
    <row r="37" spans="1:25" ht="15" customHeight="1">
      <c r="A37" s="148" t="s">
        <v>4538</v>
      </c>
      <c r="B37" s="29" t="s">
        <v>239</v>
      </c>
      <c r="C37" s="141" t="s">
        <v>77</v>
      </c>
      <c r="E37" s="29" t="s">
        <v>240</v>
      </c>
      <c r="F37" s="30">
        <v>36</v>
      </c>
      <c r="G37" s="29" t="s">
        <v>241</v>
      </c>
      <c r="K37" s="31" t="s">
        <v>242</v>
      </c>
      <c r="L37" s="31" t="s">
        <v>243</v>
      </c>
      <c r="X37" s="191" t="s">
        <v>4711</v>
      </c>
      <c r="Y37" s="187" t="s">
        <v>4591</v>
      </c>
    </row>
    <row r="38" spans="1:25" ht="15" customHeight="1">
      <c r="A38" s="148" t="s">
        <v>4539</v>
      </c>
      <c r="B38" s="29" t="s">
        <v>244</v>
      </c>
      <c r="C38" s="141" t="s">
        <v>77</v>
      </c>
      <c r="E38" s="29" t="s">
        <v>245</v>
      </c>
      <c r="F38" s="30">
        <v>37</v>
      </c>
      <c r="G38" s="29" t="s">
        <v>246</v>
      </c>
      <c r="K38" s="31" t="s">
        <v>247</v>
      </c>
      <c r="L38" s="31" t="s">
        <v>248</v>
      </c>
      <c r="X38" s="191" t="s">
        <v>4712</v>
      </c>
      <c r="Y38" s="187" t="s">
        <v>4592</v>
      </c>
    </row>
    <row r="39" spans="1:25" ht="15" customHeight="1">
      <c r="A39" s="148" t="s">
        <v>4540</v>
      </c>
      <c r="B39" s="29" t="s">
        <v>249</v>
      </c>
      <c r="C39" s="141" t="s">
        <v>77</v>
      </c>
      <c r="E39" s="29" t="s">
        <v>250</v>
      </c>
      <c r="F39" s="30">
        <v>38</v>
      </c>
      <c r="G39" s="29" t="s">
        <v>251</v>
      </c>
      <c r="K39" s="31" t="s">
        <v>252</v>
      </c>
      <c r="L39" s="31" t="s">
        <v>253</v>
      </c>
      <c r="X39" s="191" t="s">
        <v>3879</v>
      </c>
      <c r="Y39" s="187" t="s">
        <v>4593</v>
      </c>
    </row>
    <row r="40" spans="1:25" ht="15" customHeight="1">
      <c r="A40" s="148" t="s">
        <v>4541</v>
      </c>
      <c r="B40" s="29" t="s">
        <v>4543</v>
      </c>
      <c r="C40" s="141" t="s">
        <v>77</v>
      </c>
      <c r="E40" s="29" t="s">
        <v>254</v>
      </c>
      <c r="F40" s="30">
        <v>39</v>
      </c>
      <c r="G40" s="29" t="s">
        <v>255</v>
      </c>
      <c r="K40" s="31" t="s">
        <v>256</v>
      </c>
      <c r="L40" s="31" t="s">
        <v>257</v>
      </c>
      <c r="X40" s="191" t="s">
        <v>4713</v>
      </c>
      <c r="Y40" s="187" t="s">
        <v>4594</v>
      </c>
    </row>
    <row r="41" spans="1:25" ht="15" customHeight="1">
      <c r="A41" s="148" t="s">
        <v>4542</v>
      </c>
      <c r="B41" s="29" t="s">
        <v>4544</v>
      </c>
      <c r="C41" s="141" t="s">
        <v>77</v>
      </c>
      <c r="E41" s="29" t="s">
        <v>258</v>
      </c>
      <c r="F41" s="30">
        <v>40</v>
      </c>
      <c r="G41" s="29" t="s">
        <v>259</v>
      </c>
      <c r="K41" s="31" t="s">
        <v>260</v>
      </c>
      <c r="L41" s="31" t="s">
        <v>261</v>
      </c>
      <c r="X41" s="191" t="s">
        <v>4714</v>
      </c>
      <c r="Y41" s="187" t="s">
        <v>4595</v>
      </c>
    </row>
    <row r="42" spans="1:25" ht="15" customHeight="1">
      <c r="A42" s="148" t="s">
        <v>4779</v>
      </c>
      <c r="B42" s="29" t="s">
        <v>4780</v>
      </c>
      <c r="C42" s="141" t="s">
        <v>77</v>
      </c>
      <c r="E42" s="29" t="s">
        <v>262</v>
      </c>
      <c r="F42" s="30">
        <v>41</v>
      </c>
      <c r="G42" s="29" t="s">
        <v>263</v>
      </c>
      <c r="K42" s="31" t="s">
        <v>264</v>
      </c>
      <c r="L42" s="31" t="s">
        <v>265</v>
      </c>
      <c r="X42" s="191" t="s">
        <v>2633</v>
      </c>
      <c r="Y42" s="187" t="s">
        <v>4596</v>
      </c>
    </row>
    <row r="43" spans="1:25" ht="15" customHeight="1">
      <c r="E43" s="29" t="s">
        <v>266</v>
      </c>
      <c r="F43" s="30">
        <v>42</v>
      </c>
      <c r="G43" s="29" t="s">
        <v>267</v>
      </c>
      <c r="K43" s="31" t="s">
        <v>268</v>
      </c>
      <c r="L43" s="31" t="s">
        <v>269</v>
      </c>
      <c r="X43" s="191" t="s">
        <v>4715</v>
      </c>
      <c r="Y43" s="187" t="s">
        <v>4597</v>
      </c>
    </row>
    <row r="44" spans="1:25" ht="15" customHeight="1">
      <c r="E44" s="29" t="s">
        <v>270</v>
      </c>
      <c r="F44" s="30">
        <v>43</v>
      </c>
      <c r="G44" s="29" t="s">
        <v>271</v>
      </c>
      <c r="K44" s="31" t="s">
        <v>272</v>
      </c>
      <c r="L44" s="31" t="s">
        <v>273</v>
      </c>
      <c r="X44" s="191" t="s">
        <v>4716</v>
      </c>
      <c r="Y44" s="187" t="s">
        <v>4598</v>
      </c>
    </row>
    <row r="45" spans="1:25" ht="15" customHeight="1">
      <c r="E45" s="29" t="s">
        <v>274</v>
      </c>
      <c r="F45" s="30">
        <v>44</v>
      </c>
      <c r="G45" s="29" t="s">
        <v>275</v>
      </c>
      <c r="K45" s="31" t="s">
        <v>276</v>
      </c>
      <c r="L45" s="31" t="s">
        <v>277</v>
      </c>
      <c r="X45" s="191" t="s">
        <v>4717</v>
      </c>
      <c r="Y45" s="187" t="s">
        <v>4599</v>
      </c>
    </row>
    <row r="46" spans="1:25" ht="15" customHeight="1">
      <c r="E46" s="29" t="s">
        <v>278</v>
      </c>
      <c r="F46" s="30">
        <v>45</v>
      </c>
      <c r="G46" s="29" t="s">
        <v>279</v>
      </c>
      <c r="K46" s="31" t="s">
        <v>280</v>
      </c>
      <c r="L46" s="31" t="s">
        <v>281</v>
      </c>
      <c r="X46" s="191" t="s">
        <v>4718</v>
      </c>
      <c r="Y46" s="187" t="s">
        <v>4600</v>
      </c>
    </row>
    <row r="47" spans="1:25" ht="15" customHeight="1">
      <c r="E47" s="29" t="s">
        <v>282</v>
      </c>
      <c r="F47" s="30">
        <v>46</v>
      </c>
      <c r="G47" s="29" t="s">
        <v>283</v>
      </c>
      <c r="K47" s="31" t="s">
        <v>284</v>
      </c>
      <c r="L47" s="31" t="s">
        <v>285</v>
      </c>
      <c r="X47" s="191" t="s">
        <v>2038</v>
      </c>
      <c r="Y47" s="187" t="s">
        <v>4601</v>
      </c>
    </row>
    <row r="48" spans="1:25" ht="15" customHeight="1">
      <c r="E48" s="29" t="s">
        <v>286</v>
      </c>
      <c r="F48" s="30">
        <v>47</v>
      </c>
      <c r="G48" s="29" t="s">
        <v>287</v>
      </c>
      <c r="K48" s="31" t="s">
        <v>288</v>
      </c>
      <c r="L48" s="31" t="s">
        <v>289</v>
      </c>
      <c r="X48" s="191" t="s">
        <v>4719</v>
      </c>
      <c r="Y48" s="187" t="s">
        <v>4602</v>
      </c>
    </row>
    <row r="49" spans="5:25" ht="15" customHeight="1">
      <c r="E49" s="29" t="s">
        <v>290</v>
      </c>
      <c r="F49" s="30">
        <v>48</v>
      </c>
      <c r="G49" s="29" t="s">
        <v>291</v>
      </c>
      <c r="K49" s="31" t="s">
        <v>292</v>
      </c>
      <c r="L49" s="31" t="s">
        <v>293</v>
      </c>
      <c r="X49" s="191" t="s">
        <v>2725</v>
      </c>
      <c r="Y49" s="187" t="s">
        <v>4603</v>
      </c>
    </row>
    <row r="50" spans="5:25" ht="15" customHeight="1">
      <c r="E50" s="29" t="s">
        <v>294</v>
      </c>
      <c r="F50" s="30">
        <v>49</v>
      </c>
      <c r="G50" s="29" t="s">
        <v>295</v>
      </c>
      <c r="K50" s="31" t="s">
        <v>296</v>
      </c>
      <c r="L50" s="31" t="s">
        <v>297</v>
      </c>
      <c r="X50" s="191" t="s">
        <v>4720</v>
      </c>
      <c r="Y50" s="187" t="s">
        <v>4604</v>
      </c>
    </row>
    <row r="51" spans="5:25" ht="15" customHeight="1">
      <c r="E51" s="29" t="s">
        <v>298</v>
      </c>
      <c r="F51" s="30">
        <v>50</v>
      </c>
      <c r="G51" s="29" t="s">
        <v>299</v>
      </c>
      <c r="K51" s="31" t="s">
        <v>300</v>
      </c>
      <c r="L51" s="31" t="s">
        <v>301</v>
      </c>
      <c r="X51" s="191" t="s">
        <v>2930</v>
      </c>
      <c r="Y51" s="187" t="s">
        <v>4605</v>
      </c>
    </row>
    <row r="52" spans="5:25" ht="15" customHeight="1">
      <c r="E52" s="29" t="s">
        <v>302</v>
      </c>
      <c r="F52" s="30">
        <v>51</v>
      </c>
      <c r="G52" s="29" t="s">
        <v>303</v>
      </c>
      <c r="K52" s="31" t="s">
        <v>304</v>
      </c>
      <c r="L52" s="31" t="s">
        <v>305</v>
      </c>
      <c r="X52" s="191" t="s">
        <v>2934</v>
      </c>
      <c r="Y52" s="187" t="s">
        <v>4606</v>
      </c>
    </row>
    <row r="53" spans="5:25" ht="15" customHeight="1">
      <c r="E53" s="29" t="s">
        <v>306</v>
      </c>
      <c r="F53" s="30">
        <v>52</v>
      </c>
      <c r="G53" s="29" t="s">
        <v>307</v>
      </c>
      <c r="K53" s="31" t="s">
        <v>308</v>
      </c>
      <c r="L53" s="31" t="s">
        <v>309</v>
      </c>
      <c r="X53" s="191" t="s">
        <v>4721</v>
      </c>
      <c r="Y53" s="187" t="s">
        <v>4607</v>
      </c>
    </row>
    <row r="54" spans="5:25" ht="15" customHeight="1">
      <c r="E54" s="29" t="s">
        <v>310</v>
      </c>
      <c r="F54" s="30">
        <v>53</v>
      </c>
      <c r="G54" s="29" t="s">
        <v>311</v>
      </c>
      <c r="K54" s="31" t="s">
        <v>312</v>
      </c>
      <c r="L54" s="31" t="s">
        <v>313</v>
      </c>
      <c r="X54" s="191" t="s">
        <v>4232</v>
      </c>
      <c r="Y54" s="187" t="s">
        <v>4608</v>
      </c>
    </row>
    <row r="55" spans="5:25" ht="15" customHeight="1">
      <c r="E55" s="29" t="s">
        <v>314</v>
      </c>
      <c r="F55" s="30">
        <v>54</v>
      </c>
      <c r="G55" s="29" t="s">
        <v>315</v>
      </c>
      <c r="K55" s="31" t="s">
        <v>316</v>
      </c>
      <c r="L55" s="31" t="s">
        <v>317</v>
      </c>
      <c r="X55" s="191" t="s">
        <v>4722</v>
      </c>
      <c r="Y55" s="187" t="s">
        <v>4609</v>
      </c>
    </row>
    <row r="56" spans="5:25" ht="15" customHeight="1">
      <c r="E56" s="29" t="s">
        <v>318</v>
      </c>
      <c r="F56" s="30">
        <v>55</v>
      </c>
      <c r="G56" s="29" t="s">
        <v>319</v>
      </c>
      <c r="K56" s="31" t="s">
        <v>320</v>
      </c>
      <c r="L56" s="31" t="s">
        <v>321</v>
      </c>
      <c r="X56" s="191" t="s">
        <v>4723</v>
      </c>
      <c r="Y56" s="187" t="s">
        <v>4610</v>
      </c>
    </row>
    <row r="57" spans="5:25" ht="15" customHeight="1">
      <c r="E57" s="29" t="s">
        <v>322</v>
      </c>
      <c r="F57" s="30">
        <v>56</v>
      </c>
      <c r="G57" s="29" t="s">
        <v>323</v>
      </c>
      <c r="K57" s="31" t="s">
        <v>324</v>
      </c>
      <c r="L57" s="31" t="s">
        <v>325</v>
      </c>
      <c r="X57" s="191" t="s">
        <v>4724</v>
      </c>
      <c r="Y57" s="187" t="s">
        <v>4611</v>
      </c>
    </row>
    <row r="58" spans="5:25" ht="15" customHeight="1">
      <c r="E58" s="29" t="s">
        <v>326</v>
      </c>
      <c r="F58" s="30">
        <v>57</v>
      </c>
      <c r="G58" s="29" t="s">
        <v>327</v>
      </c>
      <c r="K58" s="31" t="s">
        <v>328</v>
      </c>
      <c r="L58" s="31" t="s">
        <v>329</v>
      </c>
      <c r="X58" s="191" t="s">
        <v>4725</v>
      </c>
      <c r="Y58" s="187" t="s">
        <v>4612</v>
      </c>
    </row>
    <row r="59" spans="5:25" ht="15" customHeight="1">
      <c r="E59" s="29" t="s">
        <v>330</v>
      </c>
      <c r="F59" s="30">
        <v>58</v>
      </c>
      <c r="G59" s="29" t="s">
        <v>331</v>
      </c>
      <c r="K59" s="31" t="s">
        <v>332</v>
      </c>
      <c r="L59" s="31" t="s">
        <v>333</v>
      </c>
      <c r="X59" s="191" t="s">
        <v>4726</v>
      </c>
      <c r="Y59" s="187" t="s">
        <v>4613</v>
      </c>
    </row>
    <row r="60" spans="5:25" ht="15" customHeight="1">
      <c r="E60" s="29" t="s">
        <v>334</v>
      </c>
      <c r="F60" s="30">
        <v>59</v>
      </c>
      <c r="G60" s="29" t="s">
        <v>335</v>
      </c>
      <c r="K60" s="31" t="s">
        <v>336</v>
      </c>
      <c r="L60" s="31" t="s">
        <v>337</v>
      </c>
      <c r="X60" s="191" t="s">
        <v>4727</v>
      </c>
      <c r="Y60" s="187" t="s">
        <v>4614</v>
      </c>
    </row>
    <row r="61" spans="5:25" ht="15" customHeight="1">
      <c r="E61" s="29" t="s">
        <v>338</v>
      </c>
      <c r="F61" s="30">
        <v>60</v>
      </c>
      <c r="G61" s="29" t="s">
        <v>339</v>
      </c>
      <c r="K61" s="31" t="s">
        <v>340</v>
      </c>
      <c r="L61" s="31" t="s">
        <v>341</v>
      </c>
      <c r="X61" s="191" t="s">
        <v>4728</v>
      </c>
      <c r="Y61" s="187" t="s">
        <v>4615</v>
      </c>
    </row>
    <row r="62" spans="5:25" ht="15" customHeight="1">
      <c r="E62" s="29" t="s">
        <v>342</v>
      </c>
      <c r="F62" s="30">
        <v>61</v>
      </c>
      <c r="G62" s="29" t="s">
        <v>343</v>
      </c>
      <c r="K62" s="31" t="s">
        <v>344</v>
      </c>
      <c r="L62" s="31" t="s">
        <v>345</v>
      </c>
      <c r="X62" s="191" t="s">
        <v>4729</v>
      </c>
      <c r="Y62" s="187" t="s">
        <v>4616</v>
      </c>
    </row>
    <row r="63" spans="5:25" ht="15" customHeight="1">
      <c r="E63" s="29" t="s">
        <v>346</v>
      </c>
      <c r="F63" s="30">
        <v>62</v>
      </c>
      <c r="G63" s="29" t="s">
        <v>347</v>
      </c>
      <c r="K63" s="31" t="s">
        <v>348</v>
      </c>
      <c r="L63" s="31" t="s">
        <v>349</v>
      </c>
      <c r="X63" s="191" t="s">
        <v>4730</v>
      </c>
      <c r="Y63" s="187" t="s">
        <v>4617</v>
      </c>
    </row>
    <row r="64" spans="5:25" ht="15" customHeight="1">
      <c r="E64" s="29" t="s">
        <v>350</v>
      </c>
      <c r="F64" s="30">
        <v>63</v>
      </c>
      <c r="G64" s="29" t="s">
        <v>351</v>
      </c>
      <c r="K64" s="31" t="s">
        <v>352</v>
      </c>
      <c r="L64" s="31" t="s">
        <v>353</v>
      </c>
      <c r="X64" s="191" t="s">
        <v>4731</v>
      </c>
      <c r="Y64" s="187" t="s">
        <v>4618</v>
      </c>
    </row>
    <row r="65" spans="5:25" ht="15" customHeight="1">
      <c r="E65" s="29" t="s">
        <v>354</v>
      </c>
      <c r="F65" s="30">
        <v>64</v>
      </c>
      <c r="G65" s="29" t="s">
        <v>355</v>
      </c>
      <c r="K65" s="31" t="s">
        <v>356</v>
      </c>
      <c r="L65" s="31" t="s">
        <v>357</v>
      </c>
      <c r="X65" s="191" t="s">
        <v>4732</v>
      </c>
      <c r="Y65" s="187" t="s">
        <v>4619</v>
      </c>
    </row>
    <row r="66" spans="5:25" ht="15" customHeight="1">
      <c r="E66" s="29" t="s">
        <v>358</v>
      </c>
      <c r="F66" s="30">
        <v>65</v>
      </c>
      <c r="G66" s="29" t="s">
        <v>359</v>
      </c>
      <c r="K66" s="31" t="s">
        <v>360</v>
      </c>
      <c r="L66" s="31" t="s">
        <v>361</v>
      </c>
      <c r="X66" s="191" t="s">
        <v>4733</v>
      </c>
      <c r="Y66" s="187" t="s">
        <v>4620</v>
      </c>
    </row>
    <row r="67" spans="5:25" ht="15" customHeight="1">
      <c r="E67" s="29" t="s">
        <v>362</v>
      </c>
      <c r="F67" s="30">
        <v>66</v>
      </c>
      <c r="G67" s="29" t="s">
        <v>363</v>
      </c>
      <c r="K67" s="31" t="s">
        <v>364</v>
      </c>
      <c r="L67" s="31" t="s">
        <v>365</v>
      </c>
      <c r="X67" s="191" t="s">
        <v>4734</v>
      </c>
      <c r="Y67" s="187" t="s">
        <v>4621</v>
      </c>
    </row>
    <row r="68" spans="5:25" ht="15" customHeight="1">
      <c r="E68" s="29" t="s">
        <v>366</v>
      </c>
      <c r="F68" s="30">
        <v>67</v>
      </c>
      <c r="G68" s="29" t="s">
        <v>367</v>
      </c>
      <c r="K68" s="31" t="s">
        <v>368</v>
      </c>
      <c r="L68" s="31" t="s">
        <v>369</v>
      </c>
      <c r="X68" s="191" t="s">
        <v>2050</v>
      </c>
      <c r="Y68" s="187" t="s">
        <v>4622</v>
      </c>
    </row>
    <row r="69" spans="5:25" ht="15" customHeight="1">
      <c r="E69" s="29" t="s">
        <v>370</v>
      </c>
      <c r="F69" s="30">
        <v>68</v>
      </c>
      <c r="G69" s="29" t="s">
        <v>371</v>
      </c>
      <c r="K69" s="31" t="s">
        <v>372</v>
      </c>
      <c r="L69" s="31" t="s">
        <v>373</v>
      </c>
      <c r="X69" s="191" t="s">
        <v>4735</v>
      </c>
      <c r="Y69" s="187" t="s">
        <v>4623</v>
      </c>
    </row>
    <row r="70" spans="5:25" ht="15" customHeight="1">
      <c r="E70" s="29" t="s">
        <v>374</v>
      </c>
      <c r="F70" s="30">
        <v>69</v>
      </c>
      <c r="G70" s="29" t="s">
        <v>375</v>
      </c>
      <c r="K70" s="31" t="s">
        <v>376</v>
      </c>
      <c r="L70" s="31" t="s">
        <v>377</v>
      </c>
      <c r="X70" s="191" t="s">
        <v>4736</v>
      </c>
      <c r="Y70" s="187" t="s">
        <v>4624</v>
      </c>
    </row>
    <row r="71" spans="5:25" ht="15" customHeight="1">
      <c r="E71" s="29" t="s">
        <v>378</v>
      </c>
      <c r="F71" s="30">
        <v>70</v>
      </c>
      <c r="G71" s="29" t="s">
        <v>379</v>
      </c>
      <c r="K71" s="31" t="s">
        <v>380</v>
      </c>
      <c r="L71" s="31" t="s">
        <v>381</v>
      </c>
      <c r="X71" s="191" t="s">
        <v>2054</v>
      </c>
      <c r="Y71" s="187" t="s">
        <v>4625</v>
      </c>
    </row>
    <row r="72" spans="5:25" ht="15" customHeight="1">
      <c r="E72" s="29" t="s">
        <v>382</v>
      </c>
      <c r="F72" s="30">
        <v>71</v>
      </c>
      <c r="G72" s="29" t="s">
        <v>383</v>
      </c>
      <c r="K72" s="31" t="s">
        <v>384</v>
      </c>
      <c r="L72" s="31" t="s">
        <v>385</v>
      </c>
      <c r="X72" s="191" t="s">
        <v>4737</v>
      </c>
      <c r="Y72" s="187" t="s">
        <v>4626</v>
      </c>
    </row>
    <row r="73" spans="5:25" ht="15" customHeight="1">
      <c r="E73" s="29" t="s">
        <v>386</v>
      </c>
      <c r="F73" s="30">
        <v>72</v>
      </c>
      <c r="G73" s="29" t="s">
        <v>387</v>
      </c>
      <c r="K73" s="31" t="s">
        <v>388</v>
      </c>
      <c r="L73" s="31" t="s">
        <v>389</v>
      </c>
      <c r="X73" s="191" t="s">
        <v>4738</v>
      </c>
      <c r="Y73" s="187" t="s">
        <v>4627</v>
      </c>
    </row>
    <row r="74" spans="5:25" ht="15" customHeight="1">
      <c r="E74" s="29" t="s">
        <v>390</v>
      </c>
      <c r="F74" s="30">
        <v>73</v>
      </c>
      <c r="G74" s="29" t="s">
        <v>391</v>
      </c>
      <c r="K74" s="31" t="s">
        <v>392</v>
      </c>
      <c r="L74" s="31" t="s">
        <v>393</v>
      </c>
      <c r="X74" s="191" t="s">
        <v>4739</v>
      </c>
      <c r="Y74" s="187" t="s">
        <v>4628</v>
      </c>
    </row>
    <row r="75" spans="5:25" ht="15" customHeight="1">
      <c r="E75" s="29" t="s">
        <v>394</v>
      </c>
      <c r="F75" s="30">
        <v>74</v>
      </c>
      <c r="G75" s="29" t="s">
        <v>395</v>
      </c>
      <c r="K75" s="31" t="s">
        <v>396</v>
      </c>
      <c r="L75" s="31" t="s">
        <v>397</v>
      </c>
      <c r="X75" s="191" t="s">
        <v>4740</v>
      </c>
      <c r="Y75" s="187" t="s">
        <v>4629</v>
      </c>
    </row>
    <row r="76" spans="5:25" ht="15" customHeight="1">
      <c r="E76" s="29" t="s">
        <v>398</v>
      </c>
      <c r="F76" s="30">
        <v>75</v>
      </c>
      <c r="G76" s="29" t="s">
        <v>399</v>
      </c>
      <c r="K76" s="31" t="s">
        <v>400</v>
      </c>
      <c r="L76" s="31" t="s">
        <v>401</v>
      </c>
      <c r="X76" s="191" t="s">
        <v>4741</v>
      </c>
      <c r="Y76" s="187" t="s">
        <v>4630</v>
      </c>
    </row>
    <row r="77" spans="5:25" ht="15" customHeight="1">
      <c r="E77" s="29" t="s">
        <v>402</v>
      </c>
      <c r="F77" s="30">
        <v>76</v>
      </c>
      <c r="G77" s="29" t="s">
        <v>403</v>
      </c>
      <c r="K77" s="31" t="s">
        <v>404</v>
      </c>
      <c r="L77" s="31" t="s">
        <v>405</v>
      </c>
      <c r="X77" s="191" t="s">
        <v>4742</v>
      </c>
      <c r="Y77" s="187" t="s">
        <v>4631</v>
      </c>
    </row>
    <row r="78" spans="5:25" ht="15" customHeight="1">
      <c r="E78" s="29" t="s">
        <v>406</v>
      </c>
      <c r="F78" s="30">
        <v>77</v>
      </c>
      <c r="G78" s="29" t="s">
        <v>407</v>
      </c>
      <c r="K78" s="31" t="s">
        <v>408</v>
      </c>
      <c r="L78" s="31" t="s">
        <v>409</v>
      </c>
      <c r="X78" s="191" t="s">
        <v>4743</v>
      </c>
      <c r="Y78" s="187" t="s">
        <v>4632</v>
      </c>
    </row>
    <row r="79" spans="5:25" ht="15" customHeight="1">
      <c r="E79" s="29" t="s">
        <v>410</v>
      </c>
      <c r="F79" s="30">
        <v>78</v>
      </c>
      <c r="G79" s="29" t="s">
        <v>411</v>
      </c>
      <c r="K79" s="31" t="s">
        <v>412</v>
      </c>
      <c r="L79" s="31" t="s">
        <v>413</v>
      </c>
      <c r="X79" s="191" t="s">
        <v>2060</v>
      </c>
      <c r="Y79" s="187" t="s">
        <v>4633</v>
      </c>
    </row>
    <row r="80" spans="5:25" ht="15" customHeight="1">
      <c r="E80" s="29" t="s">
        <v>414</v>
      </c>
      <c r="F80" s="30">
        <v>79</v>
      </c>
      <c r="G80" s="29" t="s">
        <v>415</v>
      </c>
      <c r="K80" s="31" t="s">
        <v>416</v>
      </c>
      <c r="L80" s="31" t="s">
        <v>417</v>
      </c>
      <c r="X80" s="191" t="s">
        <v>4744</v>
      </c>
      <c r="Y80" s="187" t="s">
        <v>4634</v>
      </c>
    </row>
    <row r="81" spans="5:25" ht="15" customHeight="1">
      <c r="E81" s="29" t="s">
        <v>418</v>
      </c>
      <c r="F81" s="30">
        <v>80</v>
      </c>
      <c r="G81" s="29" t="s">
        <v>419</v>
      </c>
      <c r="K81" s="31" t="s">
        <v>420</v>
      </c>
      <c r="L81" s="31" t="s">
        <v>421</v>
      </c>
      <c r="X81" s="191" t="s">
        <v>4745</v>
      </c>
      <c r="Y81" s="187" t="s">
        <v>4635</v>
      </c>
    </row>
    <row r="82" spans="5:25" ht="15" customHeight="1">
      <c r="E82" s="29" t="s">
        <v>422</v>
      </c>
      <c r="F82" s="30">
        <v>81</v>
      </c>
      <c r="G82" s="29" t="s">
        <v>423</v>
      </c>
      <c r="K82" s="31" t="s">
        <v>424</v>
      </c>
      <c r="L82" s="31" t="s">
        <v>425</v>
      </c>
      <c r="X82" s="191" t="s">
        <v>4746</v>
      </c>
      <c r="Y82" s="187" t="s">
        <v>4636</v>
      </c>
    </row>
    <row r="83" spans="5:25" ht="15" customHeight="1">
      <c r="E83" s="29" t="s">
        <v>426</v>
      </c>
      <c r="F83" s="30">
        <v>82</v>
      </c>
      <c r="G83" s="29" t="s">
        <v>427</v>
      </c>
      <c r="K83" s="31" t="s">
        <v>428</v>
      </c>
      <c r="L83" s="31" t="s">
        <v>429</v>
      </c>
      <c r="X83" s="191" t="s">
        <v>4747</v>
      </c>
      <c r="Y83" s="187" t="s">
        <v>4637</v>
      </c>
    </row>
    <row r="84" spans="5:25" ht="15" customHeight="1">
      <c r="E84" s="29" t="s">
        <v>430</v>
      </c>
      <c r="F84" s="30">
        <v>83</v>
      </c>
      <c r="G84" s="29" t="s">
        <v>431</v>
      </c>
      <c r="K84" s="31" t="s">
        <v>432</v>
      </c>
      <c r="L84" s="31" t="s">
        <v>433</v>
      </c>
      <c r="X84" s="191" t="s">
        <v>4748</v>
      </c>
      <c r="Y84" s="187" t="s">
        <v>4638</v>
      </c>
    </row>
    <row r="85" spans="5:25" ht="15" customHeight="1">
      <c r="E85" s="29" t="s">
        <v>434</v>
      </c>
      <c r="F85" s="30">
        <v>84</v>
      </c>
      <c r="G85" s="29" t="s">
        <v>435</v>
      </c>
      <c r="K85" s="31" t="s">
        <v>436</v>
      </c>
      <c r="L85" s="31" t="s">
        <v>437</v>
      </c>
      <c r="X85" s="191" t="s">
        <v>4749</v>
      </c>
      <c r="Y85" s="187" t="s">
        <v>4639</v>
      </c>
    </row>
    <row r="86" spans="5:25" ht="15" customHeight="1">
      <c r="E86" s="29" t="s">
        <v>438</v>
      </c>
      <c r="F86" s="30">
        <v>85</v>
      </c>
      <c r="G86" s="29" t="s">
        <v>439</v>
      </c>
      <c r="K86" s="31" t="s">
        <v>440</v>
      </c>
      <c r="L86" s="31" t="s">
        <v>441</v>
      </c>
      <c r="X86" s="191" t="s">
        <v>4750</v>
      </c>
      <c r="Y86" s="187" t="s">
        <v>4640</v>
      </c>
    </row>
    <row r="87" spans="5:25" ht="15" customHeight="1">
      <c r="E87" s="29" t="s">
        <v>442</v>
      </c>
      <c r="F87" s="30">
        <v>86</v>
      </c>
      <c r="G87" s="29" t="s">
        <v>443</v>
      </c>
      <c r="K87" s="31" t="s">
        <v>444</v>
      </c>
      <c r="L87" s="31" t="s">
        <v>445</v>
      </c>
      <c r="X87" s="191" t="s">
        <v>4751</v>
      </c>
      <c r="Y87" s="187" t="s">
        <v>4641</v>
      </c>
    </row>
    <row r="88" spans="5:25" ht="15" customHeight="1">
      <c r="E88" s="29" t="s">
        <v>446</v>
      </c>
      <c r="F88" s="30">
        <v>87</v>
      </c>
      <c r="G88" s="29" t="s">
        <v>447</v>
      </c>
      <c r="K88" s="31" t="s">
        <v>448</v>
      </c>
      <c r="L88" s="31" t="s">
        <v>449</v>
      </c>
      <c r="X88" s="191" t="s">
        <v>4752</v>
      </c>
      <c r="Y88" s="187" t="s">
        <v>4642</v>
      </c>
    </row>
    <row r="89" spans="5:25" ht="15" customHeight="1">
      <c r="E89" s="29" t="s">
        <v>450</v>
      </c>
      <c r="F89" s="30">
        <v>88</v>
      </c>
      <c r="G89" s="29" t="s">
        <v>451</v>
      </c>
      <c r="K89" s="31" t="s">
        <v>452</v>
      </c>
      <c r="L89" s="31" t="s">
        <v>453</v>
      </c>
      <c r="X89" s="191" t="s">
        <v>4753</v>
      </c>
      <c r="Y89" s="187" t="s">
        <v>4643</v>
      </c>
    </row>
    <row r="90" spans="5:25" ht="15" customHeight="1">
      <c r="E90" s="29" t="s">
        <v>454</v>
      </c>
      <c r="F90" s="30">
        <v>89</v>
      </c>
      <c r="G90" s="29" t="s">
        <v>455</v>
      </c>
      <c r="K90" s="31" t="s">
        <v>456</v>
      </c>
      <c r="L90" s="31" t="s">
        <v>457</v>
      </c>
      <c r="X90" s="191" t="s">
        <v>4754</v>
      </c>
      <c r="Y90" s="187" t="s">
        <v>4644</v>
      </c>
    </row>
    <row r="91" spans="5:25" ht="15" customHeight="1">
      <c r="E91" s="29" t="s">
        <v>458</v>
      </c>
      <c r="F91" s="30">
        <v>90</v>
      </c>
      <c r="G91" s="29" t="s">
        <v>459</v>
      </c>
      <c r="K91" s="31" t="s">
        <v>460</v>
      </c>
      <c r="L91" s="31" t="s">
        <v>461</v>
      </c>
      <c r="X91" s="191" t="s">
        <v>4755</v>
      </c>
      <c r="Y91" s="187" t="s">
        <v>4645</v>
      </c>
    </row>
    <row r="92" spans="5:25" ht="15" customHeight="1">
      <c r="E92" s="29" t="s">
        <v>462</v>
      </c>
      <c r="F92" s="30">
        <v>91</v>
      </c>
      <c r="G92" s="29" t="s">
        <v>463</v>
      </c>
      <c r="K92" s="31" t="s">
        <v>464</v>
      </c>
      <c r="L92" s="31" t="s">
        <v>465</v>
      </c>
      <c r="X92" s="191" t="s">
        <v>3923</v>
      </c>
      <c r="Y92" s="187" t="s">
        <v>4646</v>
      </c>
    </row>
    <row r="93" spans="5:25" ht="15" customHeight="1">
      <c r="E93" s="29" t="s">
        <v>466</v>
      </c>
      <c r="F93" s="30">
        <v>92</v>
      </c>
      <c r="G93" s="29" t="s">
        <v>467</v>
      </c>
      <c r="K93" s="31" t="s">
        <v>468</v>
      </c>
      <c r="L93" s="31" t="s">
        <v>469</v>
      </c>
      <c r="X93" s="191" t="s">
        <v>4756</v>
      </c>
      <c r="Y93" s="187" t="s">
        <v>4647</v>
      </c>
    </row>
    <row r="94" spans="5:25" ht="15" customHeight="1">
      <c r="E94" s="29" t="s">
        <v>470</v>
      </c>
      <c r="F94" s="30">
        <v>93</v>
      </c>
      <c r="G94" s="29" t="s">
        <v>471</v>
      </c>
      <c r="K94" s="31" t="s">
        <v>472</v>
      </c>
      <c r="L94" s="31" t="s">
        <v>473</v>
      </c>
      <c r="X94" s="191" t="s">
        <v>4757</v>
      </c>
      <c r="Y94" s="187" t="s">
        <v>4648</v>
      </c>
    </row>
    <row r="95" spans="5:25" ht="15" customHeight="1">
      <c r="E95" s="29" t="s">
        <v>474</v>
      </c>
      <c r="F95" s="30">
        <v>94</v>
      </c>
      <c r="G95" s="29" t="s">
        <v>475</v>
      </c>
      <c r="K95" s="31" t="s">
        <v>476</v>
      </c>
      <c r="L95" s="31" t="s">
        <v>477</v>
      </c>
      <c r="X95" s="191" t="s">
        <v>4758</v>
      </c>
      <c r="Y95" s="187" t="s">
        <v>4649</v>
      </c>
    </row>
    <row r="96" spans="5:25" ht="15" customHeight="1">
      <c r="E96" s="29" t="s">
        <v>478</v>
      </c>
      <c r="F96" s="30">
        <v>95</v>
      </c>
      <c r="G96" s="29" t="s">
        <v>479</v>
      </c>
      <c r="K96" s="31" t="s">
        <v>480</v>
      </c>
      <c r="L96" s="31" t="s">
        <v>481</v>
      </c>
      <c r="X96" s="191" t="s">
        <v>4759</v>
      </c>
      <c r="Y96" s="187" t="s">
        <v>4650</v>
      </c>
    </row>
    <row r="97" spans="5:25" ht="15" customHeight="1">
      <c r="E97" s="29" t="s">
        <v>482</v>
      </c>
      <c r="F97" s="30">
        <v>96</v>
      </c>
      <c r="G97" s="29" t="s">
        <v>483</v>
      </c>
      <c r="K97" s="31" t="s">
        <v>484</v>
      </c>
      <c r="L97" s="31" t="s">
        <v>485</v>
      </c>
      <c r="X97" s="191" t="s">
        <v>4760</v>
      </c>
      <c r="Y97" s="187" t="s">
        <v>4651</v>
      </c>
    </row>
    <row r="98" spans="5:25" ht="15" customHeight="1">
      <c r="E98" s="29" t="s">
        <v>486</v>
      </c>
      <c r="F98" s="30">
        <v>97</v>
      </c>
      <c r="G98" s="29" t="s">
        <v>487</v>
      </c>
      <c r="K98" s="31" t="s">
        <v>488</v>
      </c>
      <c r="L98" s="31" t="s">
        <v>489</v>
      </c>
      <c r="X98" s="191" t="s">
        <v>4761</v>
      </c>
      <c r="Y98" s="187" t="s">
        <v>4652</v>
      </c>
    </row>
    <row r="99" spans="5:25" ht="15" customHeight="1">
      <c r="E99" s="29" t="s">
        <v>490</v>
      </c>
      <c r="F99" s="30">
        <v>98</v>
      </c>
      <c r="G99" s="29" t="s">
        <v>491</v>
      </c>
      <c r="K99" s="31" t="s">
        <v>492</v>
      </c>
      <c r="L99" s="31" t="s">
        <v>493</v>
      </c>
      <c r="X99" s="191" t="s">
        <v>4762</v>
      </c>
      <c r="Y99" s="187" t="s">
        <v>4653</v>
      </c>
    </row>
    <row r="100" spans="5:25" ht="15" customHeight="1">
      <c r="E100" s="29" t="s">
        <v>494</v>
      </c>
      <c r="F100" s="30">
        <v>99</v>
      </c>
      <c r="G100" s="29" t="s">
        <v>495</v>
      </c>
      <c r="K100" s="31" t="s">
        <v>496</v>
      </c>
      <c r="L100" s="31" t="s">
        <v>497</v>
      </c>
      <c r="X100" s="191" t="s">
        <v>2094</v>
      </c>
      <c r="Y100" s="187" t="s">
        <v>4654</v>
      </c>
    </row>
    <row r="101" spans="5:25" ht="15" customHeight="1">
      <c r="E101" s="29" t="s">
        <v>498</v>
      </c>
      <c r="F101" s="30">
        <v>100</v>
      </c>
      <c r="G101" s="29" t="s">
        <v>499</v>
      </c>
      <c r="K101" s="31" t="s">
        <v>500</v>
      </c>
      <c r="L101" s="31" t="s">
        <v>501</v>
      </c>
      <c r="X101" s="191" t="s">
        <v>2096</v>
      </c>
      <c r="Y101" s="187" t="s">
        <v>4655</v>
      </c>
    </row>
    <row r="102" spans="5:25" ht="15" customHeight="1">
      <c r="E102" s="29" t="s">
        <v>502</v>
      </c>
      <c r="F102" s="30">
        <v>101</v>
      </c>
      <c r="G102" s="29" t="s">
        <v>503</v>
      </c>
      <c r="K102" s="31" t="s">
        <v>504</v>
      </c>
      <c r="L102" s="31" t="s">
        <v>505</v>
      </c>
      <c r="X102" s="191" t="s">
        <v>4763</v>
      </c>
      <c r="Y102" s="187" t="s">
        <v>4656</v>
      </c>
    </row>
    <row r="103" spans="5:25" ht="15" customHeight="1">
      <c r="E103" s="29" t="s">
        <v>506</v>
      </c>
      <c r="F103" s="30">
        <v>102</v>
      </c>
      <c r="G103" s="29" t="s">
        <v>507</v>
      </c>
      <c r="K103" s="31" t="s">
        <v>508</v>
      </c>
      <c r="L103" s="31" t="s">
        <v>509</v>
      </c>
      <c r="X103" s="191" t="s">
        <v>4764</v>
      </c>
      <c r="Y103" s="187" t="s">
        <v>4657</v>
      </c>
    </row>
    <row r="104" spans="5:25" ht="15" customHeight="1">
      <c r="E104" s="29" t="s">
        <v>510</v>
      </c>
      <c r="F104" s="30">
        <v>103</v>
      </c>
      <c r="G104" s="29" t="s">
        <v>511</v>
      </c>
      <c r="K104" s="31" t="s">
        <v>512</v>
      </c>
      <c r="L104" s="31" t="s">
        <v>513</v>
      </c>
      <c r="X104" s="191" t="s">
        <v>4765</v>
      </c>
      <c r="Y104" s="187" t="s">
        <v>4658</v>
      </c>
    </row>
    <row r="105" spans="5:25" ht="15" customHeight="1">
      <c r="E105" s="29" t="s">
        <v>514</v>
      </c>
      <c r="F105" s="30">
        <v>104</v>
      </c>
      <c r="G105" s="29" t="s">
        <v>515</v>
      </c>
      <c r="K105" s="31" t="s">
        <v>516</v>
      </c>
      <c r="L105" s="31" t="s">
        <v>517</v>
      </c>
      <c r="X105" s="191" t="s">
        <v>4766</v>
      </c>
      <c r="Y105" s="187" t="s">
        <v>4659</v>
      </c>
    </row>
    <row r="106" spans="5:25" ht="15" customHeight="1">
      <c r="E106" s="29" t="s">
        <v>518</v>
      </c>
      <c r="F106" s="30">
        <v>105</v>
      </c>
      <c r="G106" s="29" t="s">
        <v>519</v>
      </c>
      <c r="K106" s="31" t="s">
        <v>520</v>
      </c>
      <c r="L106" s="31" t="s">
        <v>521</v>
      </c>
      <c r="X106" s="191" t="s">
        <v>4767</v>
      </c>
      <c r="Y106" s="187" t="s">
        <v>4660</v>
      </c>
    </row>
    <row r="107" spans="5:25" ht="15" customHeight="1">
      <c r="E107" s="29" t="s">
        <v>522</v>
      </c>
      <c r="F107" s="30">
        <v>106</v>
      </c>
      <c r="G107" s="29" t="s">
        <v>523</v>
      </c>
      <c r="K107" s="31" t="s">
        <v>524</v>
      </c>
      <c r="L107" s="31" t="s">
        <v>525</v>
      </c>
      <c r="X107" s="191" t="s">
        <v>4768</v>
      </c>
      <c r="Y107" s="187" t="s">
        <v>4661</v>
      </c>
    </row>
    <row r="108" spans="5:25" ht="15" customHeight="1">
      <c r="E108" s="29" t="s">
        <v>526</v>
      </c>
      <c r="F108" s="30">
        <v>107</v>
      </c>
      <c r="G108" s="29" t="s">
        <v>527</v>
      </c>
      <c r="K108" s="31" t="s">
        <v>528</v>
      </c>
      <c r="L108" s="31" t="s">
        <v>529</v>
      </c>
      <c r="X108" s="191" t="s">
        <v>4769</v>
      </c>
      <c r="Y108" s="187" t="s">
        <v>4662</v>
      </c>
    </row>
    <row r="109" spans="5:25" ht="15" customHeight="1">
      <c r="E109" s="29" t="s">
        <v>530</v>
      </c>
      <c r="F109" s="30">
        <v>108</v>
      </c>
      <c r="G109" s="29" t="s">
        <v>531</v>
      </c>
      <c r="K109" s="31" t="s">
        <v>532</v>
      </c>
      <c r="L109" s="31" t="s">
        <v>533</v>
      </c>
      <c r="X109" s="191" t="s">
        <v>4770</v>
      </c>
      <c r="Y109" s="187" t="s">
        <v>4663</v>
      </c>
    </row>
    <row r="110" spans="5:25" ht="15" customHeight="1">
      <c r="E110" s="29" t="s">
        <v>534</v>
      </c>
      <c r="F110" s="30">
        <v>109</v>
      </c>
      <c r="G110" s="29" t="s">
        <v>535</v>
      </c>
      <c r="K110" s="31" t="s">
        <v>536</v>
      </c>
      <c r="L110" s="31" t="s">
        <v>537</v>
      </c>
      <c r="X110" s="191" t="s">
        <v>4771</v>
      </c>
      <c r="Y110" s="187" t="s">
        <v>4664</v>
      </c>
    </row>
    <row r="111" spans="5:25" ht="15" customHeight="1">
      <c r="E111" s="29" t="s">
        <v>538</v>
      </c>
      <c r="F111" s="30">
        <v>110</v>
      </c>
      <c r="G111" s="29" t="s">
        <v>539</v>
      </c>
      <c r="K111" s="31" t="s">
        <v>540</v>
      </c>
      <c r="L111" s="31" t="s">
        <v>541</v>
      </c>
      <c r="X111" s="191" t="s">
        <v>4772</v>
      </c>
      <c r="Y111" s="187" t="s">
        <v>4665</v>
      </c>
    </row>
    <row r="112" spans="5:25" ht="15" customHeight="1">
      <c r="E112" s="29" t="s">
        <v>542</v>
      </c>
      <c r="F112" s="30">
        <v>111</v>
      </c>
      <c r="G112" s="29" t="s">
        <v>543</v>
      </c>
      <c r="K112" s="31" t="s">
        <v>544</v>
      </c>
      <c r="L112" s="31" t="s">
        <v>545</v>
      </c>
      <c r="X112" s="191" t="s">
        <v>4773</v>
      </c>
      <c r="Y112" s="187" t="s">
        <v>4666</v>
      </c>
    </row>
    <row r="113" spans="5:25" ht="15" customHeight="1">
      <c r="E113" s="29" t="s">
        <v>546</v>
      </c>
      <c r="F113" s="30">
        <v>112</v>
      </c>
      <c r="G113" s="29" t="s">
        <v>547</v>
      </c>
      <c r="K113" s="31" t="s">
        <v>548</v>
      </c>
      <c r="L113" s="31" t="s">
        <v>549</v>
      </c>
      <c r="X113" s="191" t="s">
        <v>4774</v>
      </c>
      <c r="Y113" s="187" t="s">
        <v>4667</v>
      </c>
    </row>
    <row r="114" spans="5:25" ht="15" customHeight="1">
      <c r="E114" s="29" t="s">
        <v>550</v>
      </c>
      <c r="F114" s="30">
        <v>113</v>
      </c>
      <c r="G114" s="29" t="s">
        <v>551</v>
      </c>
      <c r="K114" s="31" t="s">
        <v>552</v>
      </c>
      <c r="L114" s="31" t="s">
        <v>553</v>
      </c>
      <c r="X114" s="191" t="s">
        <v>4775</v>
      </c>
      <c r="Y114" s="187" t="s">
        <v>4668</v>
      </c>
    </row>
    <row r="115" spans="5:25" ht="15" customHeight="1">
      <c r="E115" s="29" t="s">
        <v>554</v>
      </c>
      <c r="F115" s="30">
        <v>114</v>
      </c>
      <c r="G115" s="29" t="s">
        <v>555</v>
      </c>
      <c r="K115" s="31" t="s">
        <v>556</v>
      </c>
      <c r="L115" s="31" t="s">
        <v>557</v>
      </c>
      <c r="X115" s="191" t="s">
        <v>4508</v>
      </c>
      <c r="Y115" s="187" t="s">
        <v>4669</v>
      </c>
    </row>
    <row r="116" spans="5:25" ht="15" customHeight="1">
      <c r="E116" s="29" t="s">
        <v>558</v>
      </c>
      <c r="F116" s="30">
        <v>115</v>
      </c>
      <c r="G116" s="29" t="s">
        <v>559</v>
      </c>
      <c r="K116" s="31" t="s">
        <v>560</v>
      </c>
      <c r="L116" s="31" t="s">
        <v>561</v>
      </c>
      <c r="X116" s="191" t="s">
        <v>4670</v>
      </c>
      <c r="Y116" s="187" t="s">
        <v>4671</v>
      </c>
    </row>
    <row r="117" spans="5:25" ht="15" customHeight="1">
      <c r="E117" s="29" t="s">
        <v>170</v>
      </c>
      <c r="F117" s="30">
        <v>116</v>
      </c>
      <c r="G117" s="29" t="s">
        <v>562</v>
      </c>
      <c r="K117" s="31" t="s">
        <v>563</v>
      </c>
      <c r="L117" s="31" t="s">
        <v>564</v>
      </c>
      <c r="X117" s="191" t="s">
        <v>4776</v>
      </c>
      <c r="Y117" s="187" t="s">
        <v>4672</v>
      </c>
    </row>
    <row r="118" spans="5:25" ht="15" customHeight="1">
      <c r="E118" s="29" t="s">
        <v>565</v>
      </c>
      <c r="F118" s="30">
        <v>117</v>
      </c>
      <c r="G118" s="29" t="s">
        <v>566</v>
      </c>
      <c r="K118" s="31" t="s">
        <v>567</v>
      </c>
      <c r="L118" s="31" t="s">
        <v>568</v>
      </c>
      <c r="X118" s="191" t="s">
        <v>4504</v>
      </c>
      <c r="Y118" s="187" t="s">
        <v>4673</v>
      </c>
    </row>
    <row r="119" spans="5:25" ht="15" customHeight="1">
      <c r="E119" s="29" t="s">
        <v>569</v>
      </c>
      <c r="F119" s="30">
        <v>118</v>
      </c>
      <c r="G119" s="29" t="s">
        <v>570</v>
      </c>
      <c r="K119" s="31" t="s">
        <v>571</v>
      </c>
      <c r="L119" s="31" t="s">
        <v>572</v>
      </c>
      <c r="X119" s="191" t="s">
        <v>4505</v>
      </c>
      <c r="Y119" s="187" t="s">
        <v>4674</v>
      </c>
    </row>
    <row r="120" spans="5:25" ht="15" customHeight="1">
      <c r="E120" s="29" t="s">
        <v>573</v>
      </c>
      <c r="F120" s="30">
        <v>119</v>
      </c>
      <c r="G120" s="29" t="s">
        <v>574</v>
      </c>
      <c r="K120" s="31" t="s">
        <v>575</v>
      </c>
      <c r="L120" s="31" t="s">
        <v>576</v>
      </c>
      <c r="X120" s="191" t="s">
        <v>4506</v>
      </c>
      <c r="Y120" s="187" t="s">
        <v>4675</v>
      </c>
    </row>
    <row r="121" spans="5:25" ht="15" customHeight="1">
      <c r="E121" s="29" t="s">
        <v>577</v>
      </c>
      <c r="F121" s="30">
        <v>120</v>
      </c>
      <c r="G121" s="29" t="s">
        <v>578</v>
      </c>
      <c r="K121" s="31" t="s">
        <v>579</v>
      </c>
      <c r="L121" s="31" t="s">
        <v>580</v>
      </c>
      <c r="X121" s="191" t="s">
        <v>4777</v>
      </c>
      <c r="Y121" s="187" t="s">
        <v>4676</v>
      </c>
    </row>
    <row r="122" spans="5:25" ht="15" customHeight="1">
      <c r="E122" s="29" t="s">
        <v>581</v>
      </c>
      <c r="F122" s="30">
        <v>121</v>
      </c>
      <c r="G122" s="29" t="s">
        <v>582</v>
      </c>
      <c r="K122" s="31" t="s">
        <v>583</v>
      </c>
      <c r="L122" s="31" t="s">
        <v>584</v>
      </c>
      <c r="X122" s="191" t="s">
        <v>4778</v>
      </c>
      <c r="Y122" s="187" t="s">
        <v>4677</v>
      </c>
    </row>
    <row r="123" spans="5:25" ht="15" customHeight="1">
      <c r="E123" s="29" t="s">
        <v>585</v>
      </c>
      <c r="F123" s="30">
        <v>122</v>
      </c>
      <c r="G123" s="29" t="s">
        <v>586</v>
      </c>
      <c r="K123" s="31" t="s">
        <v>587</v>
      </c>
      <c r="L123" s="31" t="s">
        <v>588</v>
      </c>
      <c r="X123" s="191" t="s">
        <v>4507</v>
      </c>
      <c r="Y123" s="187" t="s">
        <v>4678</v>
      </c>
    </row>
    <row r="124" spans="5:25" ht="15" customHeight="1">
      <c r="E124" s="29" t="s">
        <v>589</v>
      </c>
      <c r="F124" s="30">
        <v>123</v>
      </c>
      <c r="G124" s="29" t="s">
        <v>590</v>
      </c>
      <c r="K124" s="31" t="s">
        <v>591</v>
      </c>
      <c r="L124" s="31" t="s">
        <v>592</v>
      </c>
      <c r="X124" s="191" t="s">
        <v>4679</v>
      </c>
      <c r="Y124" s="187" t="s">
        <v>4680</v>
      </c>
    </row>
    <row r="125" spans="5:25" ht="15" customHeight="1">
      <c r="E125" s="29" t="s">
        <v>593</v>
      </c>
      <c r="F125" s="30">
        <v>124</v>
      </c>
      <c r="G125" s="29" t="s">
        <v>594</v>
      </c>
      <c r="K125" s="31" t="s">
        <v>595</v>
      </c>
      <c r="L125" s="31" t="s">
        <v>596</v>
      </c>
    </row>
    <row r="126" spans="5:25" ht="15" customHeight="1">
      <c r="E126" s="29" t="s">
        <v>597</v>
      </c>
      <c r="F126" s="30">
        <v>125</v>
      </c>
      <c r="G126" s="29" t="s">
        <v>598</v>
      </c>
      <c r="K126" s="31" t="s">
        <v>599</v>
      </c>
      <c r="L126" s="31" t="s">
        <v>600</v>
      </c>
    </row>
    <row r="127" spans="5:25" ht="15" customHeight="1">
      <c r="E127" s="29" t="s">
        <v>601</v>
      </c>
      <c r="F127" s="30">
        <v>126</v>
      </c>
      <c r="G127" s="29" t="s">
        <v>602</v>
      </c>
      <c r="K127" s="31" t="s">
        <v>603</v>
      </c>
      <c r="L127" s="31" t="s">
        <v>604</v>
      </c>
    </row>
    <row r="128" spans="5:25" ht="15" customHeight="1">
      <c r="E128" s="29" t="s">
        <v>605</v>
      </c>
      <c r="F128" s="30">
        <v>127</v>
      </c>
      <c r="G128" s="29" t="s">
        <v>606</v>
      </c>
      <c r="K128" s="31" t="s">
        <v>607</v>
      </c>
      <c r="L128" s="31" t="s">
        <v>608</v>
      </c>
    </row>
    <row r="129" spans="5:12" ht="15" customHeight="1">
      <c r="E129" s="29" t="s">
        <v>609</v>
      </c>
      <c r="F129" s="30">
        <v>128</v>
      </c>
      <c r="G129" s="29" t="s">
        <v>610</v>
      </c>
      <c r="K129" s="31" t="s">
        <v>611</v>
      </c>
      <c r="L129" s="31" t="s">
        <v>612</v>
      </c>
    </row>
    <row r="130" spans="5:12" ht="15" customHeight="1">
      <c r="E130" s="29" t="s">
        <v>613</v>
      </c>
      <c r="F130" s="30">
        <v>129</v>
      </c>
      <c r="G130" s="29" t="s">
        <v>614</v>
      </c>
      <c r="K130" s="31" t="s">
        <v>615</v>
      </c>
      <c r="L130" s="31" t="s">
        <v>616</v>
      </c>
    </row>
    <row r="131" spans="5:12" ht="15" customHeight="1">
      <c r="E131" s="29" t="s">
        <v>617</v>
      </c>
      <c r="F131" s="30">
        <v>130</v>
      </c>
      <c r="G131" s="29" t="s">
        <v>618</v>
      </c>
      <c r="K131" s="31" t="s">
        <v>619</v>
      </c>
      <c r="L131" s="31" t="s">
        <v>620</v>
      </c>
    </row>
    <row r="132" spans="5:12" ht="15" customHeight="1">
      <c r="E132" s="29" t="s">
        <v>621</v>
      </c>
      <c r="F132" s="30">
        <v>131</v>
      </c>
      <c r="G132" s="29" t="s">
        <v>622</v>
      </c>
      <c r="K132" s="31" t="s">
        <v>623</v>
      </c>
      <c r="L132" s="31" t="s">
        <v>624</v>
      </c>
    </row>
    <row r="133" spans="5:12" ht="15" customHeight="1">
      <c r="E133" s="29" t="s">
        <v>625</v>
      </c>
      <c r="F133" s="30">
        <v>132</v>
      </c>
      <c r="G133" s="29" t="s">
        <v>626</v>
      </c>
      <c r="K133" s="31" t="s">
        <v>627</v>
      </c>
      <c r="L133" s="31" t="s">
        <v>628</v>
      </c>
    </row>
    <row r="134" spans="5:12" ht="15" customHeight="1">
      <c r="E134" s="29" t="s">
        <v>629</v>
      </c>
      <c r="F134" s="30">
        <v>133</v>
      </c>
      <c r="G134" s="29" t="s">
        <v>630</v>
      </c>
      <c r="K134" s="31" t="s">
        <v>631</v>
      </c>
      <c r="L134" s="31" t="s">
        <v>632</v>
      </c>
    </row>
    <row r="135" spans="5:12" ht="15" customHeight="1">
      <c r="E135" s="29" t="s">
        <v>633</v>
      </c>
      <c r="F135" s="30">
        <v>134</v>
      </c>
      <c r="G135" s="29" t="s">
        <v>634</v>
      </c>
      <c r="K135" s="31" t="s">
        <v>635</v>
      </c>
      <c r="L135" s="31" t="s">
        <v>636</v>
      </c>
    </row>
    <row r="136" spans="5:12" ht="15" customHeight="1">
      <c r="E136" s="29" t="s">
        <v>637</v>
      </c>
      <c r="F136" s="30">
        <v>135</v>
      </c>
      <c r="G136" s="29" t="s">
        <v>638</v>
      </c>
      <c r="K136" s="31" t="s">
        <v>639</v>
      </c>
      <c r="L136" s="31" t="s">
        <v>640</v>
      </c>
    </row>
    <row r="137" spans="5:12" ht="15" customHeight="1">
      <c r="E137" s="29" t="s">
        <v>641</v>
      </c>
      <c r="F137" s="30">
        <v>136</v>
      </c>
      <c r="G137" s="29" t="s">
        <v>642</v>
      </c>
      <c r="K137" s="31" t="s">
        <v>643</v>
      </c>
      <c r="L137" s="31" t="s">
        <v>644</v>
      </c>
    </row>
    <row r="138" spans="5:12" ht="15" customHeight="1">
      <c r="E138" s="29" t="s">
        <v>645</v>
      </c>
      <c r="F138" s="30">
        <v>137</v>
      </c>
      <c r="G138" s="29" t="s">
        <v>646</v>
      </c>
      <c r="K138" s="31" t="s">
        <v>647</v>
      </c>
      <c r="L138" s="31" t="s">
        <v>648</v>
      </c>
    </row>
    <row r="139" spans="5:12" ht="15" customHeight="1">
      <c r="E139" s="29" t="s">
        <v>649</v>
      </c>
      <c r="F139" s="30">
        <v>138</v>
      </c>
      <c r="G139" s="29" t="s">
        <v>650</v>
      </c>
      <c r="K139" s="31" t="s">
        <v>651</v>
      </c>
      <c r="L139" s="31" t="s">
        <v>652</v>
      </c>
    </row>
    <row r="140" spans="5:12" ht="15" customHeight="1">
      <c r="E140" s="29" t="s">
        <v>653</v>
      </c>
      <c r="F140" s="30">
        <v>139</v>
      </c>
      <c r="G140" s="29" t="s">
        <v>654</v>
      </c>
      <c r="K140" s="31" t="s">
        <v>655</v>
      </c>
      <c r="L140" s="31" t="s">
        <v>656</v>
      </c>
    </row>
    <row r="141" spans="5:12" ht="15" customHeight="1">
      <c r="E141" s="29" t="s">
        <v>657</v>
      </c>
      <c r="F141" s="30">
        <v>140</v>
      </c>
      <c r="G141" s="29" t="s">
        <v>658</v>
      </c>
      <c r="K141" s="31" t="s">
        <v>659</v>
      </c>
      <c r="L141" s="31" t="s">
        <v>660</v>
      </c>
    </row>
    <row r="142" spans="5:12" ht="15" customHeight="1">
      <c r="E142" s="29" t="s">
        <v>661</v>
      </c>
      <c r="F142" s="30">
        <v>141</v>
      </c>
      <c r="G142" s="29" t="s">
        <v>662</v>
      </c>
      <c r="K142" s="31" t="s">
        <v>663</v>
      </c>
      <c r="L142" s="31" t="s">
        <v>664</v>
      </c>
    </row>
    <row r="143" spans="5:12" ht="15" customHeight="1">
      <c r="E143" s="29" t="s">
        <v>665</v>
      </c>
      <c r="F143" s="30">
        <v>142</v>
      </c>
      <c r="G143" s="29" t="s">
        <v>666</v>
      </c>
      <c r="K143" s="31" t="s">
        <v>667</v>
      </c>
      <c r="L143" s="31" t="s">
        <v>668</v>
      </c>
    </row>
    <row r="144" spans="5:12" ht="15" customHeight="1">
      <c r="E144" s="29" t="s">
        <v>669</v>
      </c>
      <c r="F144" s="30">
        <v>143</v>
      </c>
      <c r="G144" s="29" t="s">
        <v>670</v>
      </c>
      <c r="K144" s="31" t="s">
        <v>671</v>
      </c>
      <c r="L144" s="31" t="s">
        <v>672</v>
      </c>
    </row>
    <row r="145" spans="5:12" ht="15" customHeight="1">
      <c r="E145" s="29" t="s">
        <v>673</v>
      </c>
      <c r="F145" s="30">
        <v>144</v>
      </c>
      <c r="G145" s="29" t="s">
        <v>674</v>
      </c>
      <c r="K145" s="31" t="s">
        <v>675</v>
      </c>
      <c r="L145" s="31" t="s">
        <v>676</v>
      </c>
    </row>
    <row r="146" spans="5:12" ht="15" customHeight="1">
      <c r="E146" s="29" t="s">
        <v>677</v>
      </c>
      <c r="F146" s="30">
        <v>145</v>
      </c>
      <c r="G146" s="29" t="s">
        <v>678</v>
      </c>
      <c r="K146" s="31" t="s">
        <v>679</v>
      </c>
      <c r="L146" s="31" t="s">
        <v>680</v>
      </c>
    </row>
    <row r="147" spans="5:12" ht="15" customHeight="1">
      <c r="E147" s="29" t="s">
        <v>681</v>
      </c>
      <c r="F147" s="30">
        <v>146</v>
      </c>
      <c r="G147" s="29" t="s">
        <v>682</v>
      </c>
      <c r="K147" s="31" t="s">
        <v>683</v>
      </c>
      <c r="L147" s="31" t="s">
        <v>684</v>
      </c>
    </row>
    <row r="148" spans="5:12" ht="15" customHeight="1">
      <c r="E148" s="29" t="s">
        <v>685</v>
      </c>
      <c r="F148" s="30">
        <v>147</v>
      </c>
      <c r="G148" s="29" t="s">
        <v>686</v>
      </c>
      <c r="K148" s="31" t="s">
        <v>687</v>
      </c>
      <c r="L148" s="31" t="s">
        <v>688</v>
      </c>
    </row>
    <row r="149" spans="5:12" ht="15" customHeight="1">
      <c r="E149" s="29" t="s">
        <v>689</v>
      </c>
      <c r="F149" s="30">
        <v>148</v>
      </c>
      <c r="G149" s="29" t="s">
        <v>690</v>
      </c>
      <c r="K149" s="31" t="s">
        <v>691</v>
      </c>
      <c r="L149" s="31" t="s">
        <v>692</v>
      </c>
    </row>
    <row r="150" spans="5:12" ht="15" customHeight="1">
      <c r="E150" s="29" t="s">
        <v>693</v>
      </c>
      <c r="F150" s="30">
        <v>149</v>
      </c>
      <c r="G150" s="29" t="s">
        <v>694</v>
      </c>
      <c r="K150" s="31" t="s">
        <v>695</v>
      </c>
      <c r="L150" s="31" t="s">
        <v>696</v>
      </c>
    </row>
    <row r="151" spans="5:12" ht="15" customHeight="1">
      <c r="E151" s="29" t="s">
        <v>697</v>
      </c>
      <c r="F151" s="30">
        <v>150</v>
      </c>
      <c r="G151" s="29" t="s">
        <v>698</v>
      </c>
      <c r="K151" s="31" t="s">
        <v>699</v>
      </c>
      <c r="L151" s="31" t="s">
        <v>700</v>
      </c>
    </row>
    <row r="152" spans="5:12" ht="15" customHeight="1">
      <c r="E152" s="29" t="s">
        <v>701</v>
      </c>
      <c r="F152" s="30">
        <v>151</v>
      </c>
      <c r="G152" s="29" t="s">
        <v>702</v>
      </c>
      <c r="K152" s="31" t="s">
        <v>703</v>
      </c>
      <c r="L152" s="31" t="s">
        <v>704</v>
      </c>
    </row>
    <row r="153" spans="5:12" ht="15" customHeight="1">
      <c r="E153" s="29" t="s">
        <v>705</v>
      </c>
      <c r="F153" s="30">
        <v>152</v>
      </c>
      <c r="G153" s="29" t="s">
        <v>706</v>
      </c>
      <c r="K153" s="31" t="s">
        <v>707</v>
      </c>
      <c r="L153" s="31" t="s">
        <v>708</v>
      </c>
    </row>
    <row r="154" spans="5:12" ht="15" customHeight="1">
      <c r="E154" s="29" t="s">
        <v>709</v>
      </c>
      <c r="F154" s="30">
        <v>153</v>
      </c>
      <c r="G154" s="29" t="s">
        <v>710</v>
      </c>
      <c r="K154" s="31" t="s">
        <v>711</v>
      </c>
      <c r="L154" s="31" t="s">
        <v>712</v>
      </c>
    </row>
    <row r="155" spans="5:12" ht="15" customHeight="1">
      <c r="E155" s="29" t="s">
        <v>713</v>
      </c>
      <c r="F155" s="30">
        <v>154</v>
      </c>
      <c r="G155" s="29" t="s">
        <v>714</v>
      </c>
      <c r="K155" s="31" t="s">
        <v>715</v>
      </c>
      <c r="L155" s="31" t="s">
        <v>716</v>
      </c>
    </row>
    <row r="156" spans="5:12" ht="15" customHeight="1">
      <c r="E156" s="29" t="s">
        <v>717</v>
      </c>
      <c r="F156" s="30">
        <v>155</v>
      </c>
      <c r="G156" s="29" t="s">
        <v>718</v>
      </c>
      <c r="K156" s="31" t="s">
        <v>719</v>
      </c>
      <c r="L156" s="31" t="s">
        <v>720</v>
      </c>
    </row>
    <row r="157" spans="5:12" ht="15" customHeight="1">
      <c r="E157" s="29" t="s">
        <v>721</v>
      </c>
      <c r="F157" s="30">
        <v>156</v>
      </c>
      <c r="G157" s="29" t="s">
        <v>722</v>
      </c>
      <c r="K157" s="31" t="s">
        <v>723</v>
      </c>
      <c r="L157" s="31" t="s">
        <v>724</v>
      </c>
    </row>
    <row r="158" spans="5:12" ht="15" customHeight="1">
      <c r="E158" s="29" t="s">
        <v>725</v>
      </c>
      <c r="F158" s="30">
        <v>157</v>
      </c>
      <c r="G158" s="29" t="s">
        <v>726</v>
      </c>
      <c r="K158" s="31" t="s">
        <v>727</v>
      </c>
      <c r="L158" s="31" t="s">
        <v>728</v>
      </c>
    </row>
    <row r="159" spans="5:12" ht="15" customHeight="1">
      <c r="E159" s="29" t="s">
        <v>729</v>
      </c>
      <c r="F159" s="30">
        <v>158</v>
      </c>
      <c r="G159" s="29" t="s">
        <v>730</v>
      </c>
      <c r="K159" s="31" t="s">
        <v>731</v>
      </c>
      <c r="L159" s="31" t="s">
        <v>732</v>
      </c>
    </row>
    <row r="160" spans="5:12" ht="15" customHeight="1">
      <c r="E160" s="29" t="s">
        <v>733</v>
      </c>
      <c r="F160" s="30">
        <v>159</v>
      </c>
      <c r="G160" s="29" t="s">
        <v>734</v>
      </c>
      <c r="K160" s="31" t="s">
        <v>735</v>
      </c>
      <c r="L160" s="31" t="s">
        <v>736</v>
      </c>
    </row>
    <row r="161" spans="5:12" ht="15" customHeight="1">
      <c r="E161" s="29" t="s">
        <v>737</v>
      </c>
      <c r="F161" s="30">
        <v>160</v>
      </c>
      <c r="G161" s="29" t="s">
        <v>738</v>
      </c>
      <c r="K161" s="31" t="s">
        <v>739</v>
      </c>
      <c r="L161" s="31" t="s">
        <v>740</v>
      </c>
    </row>
    <row r="162" spans="5:12" ht="15" customHeight="1">
      <c r="E162" s="29" t="s">
        <v>741</v>
      </c>
      <c r="F162" s="30">
        <v>161</v>
      </c>
      <c r="G162" s="29" t="s">
        <v>742</v>
      </c>
      <c r="K162" s="31" t="s">
        <v>743</v>
      </c>
      <c r="L162" s="31" t="s">
        <v>744</v>
      </c>
    </row>
    <row r="163" spans="5:12" ht="15" customHeight="1">
      <c r="E163" s="29" t="s">
        <v>745</v>
      </c>
      <c r="F163" s="30">
        <v>162</v>
      </c>
      <c r="G163" s="29" t="s">
        <v>746</v>
      </c>
      <c r="K163" s="31" t="s">
        <v>747</v>
      </c>
      <c r="L163" s="31" t="s">
        <v>748</v>
      </c>
    </row>
    <row r="164" spans="5:12" ht="15" customHeight="1">
      <c r="E164" s="29" t="s">
        <v>749</v>
      </c>
      <c r="F164" s="30">
        <v>163</v>
      </c>
      <c r="G164" s="29" t="s">
        <v>750</v>
      </c>
      <c r="K164" s="31" t="s">
        <v>751</v>
      </c>
      <c r="L164" s="31" t="s">
        <v>752</v>
      </c>
    </row>
    <row r="165" spans="5:12" ht="15" customHeight="1">
      <c r="E165" s="29" t="s">
        <v>753</v>
      </c>
      <c r="F165" s="30">
        <v>164</v>
      </c>
      <c r="G165" s="29" t="s">
        <v>754</v>
      </c>
      <c r="K165" s="31" t="s">
        <v>755</v>
      </c>
      <c r="L165" s="31" t="s">
        <v>756</v>
      </c>
    </row>
    <row r="166" spans="5:12" ht="15" customHeight="1">
      <c r="E166" s="29" t="s">
        <v>757</v>
      </c>
      <c r="F166" s="30">
        <v>165</v>
      </c>
      <c r="G166" s="29" t="s">
        <v>758</v>
      </c>
      <c r="K166" s="31" t="s">
        <v>759</v>
      </c>
      <c r="L166" s="31" t="s">
        <v>760</v>
      </c>
    </row>
    <row r="167" spans="5:12" ht="15" customHeight="1">
      <c r="E167" s="29" t="s">
        <v>761</v>
      </c>
      <c r="F167" s="30">
        <v>166</v>
      </c>
      <c r="G167" s="29" t="s">
        <v>762</v>
      </c>
      <c r="K167" s="31" t="s">
        <v>763</v>
      </c>
      <c r="L167" s="31" t="s">
        <v>764</v>
      </c>
    </row>
    <row r="168" spans="5:12" ht="15" customHeight="1">
      <c r="E168" s="29" t="s">
        <v>765</v>
      </c>
      <c r="F168" s="30">
        <v>167</v>
      </c>
      <c r="G168" s="29" t="s">
        <v>766</v>
      </c>
      <c r="K168" s="31" t="s">
        <v>767</v>
      </c>
      <c r="L168" s="31" t="s">
        <v>768</v>
      </c>
    </row>
    <row r="169" spans="5:12" ht="15" customHeight="1">
      <c r="E169" s="29" t="s">
        <v>769</v>
      </c>
      <c r="F169" s="30">
        <v>168</v>
      </c>
      <c r="G169" s="29" t="s">
        <v>770</v>
      </c>
      <c r="K169" s="31" t="s">
        <v>771</v>
      </c>
      <c r="L169" s="31" t="s">
        <v>772</v>
      </c>
    </row>
    <row r="170" spans="5:12" ht="15" customHeight="1">
      <c r="E170" s="29" t="s">
        <v>773</v>
      </c>
      <c r="F170" s="30">
        <v>169</v>
      </c>
      <c r="G170" s="29" t="s">
        <v>774</v>
      </c>
      <c r="K170" s="31" t="s">
        <v>775</v>
      </c>
      <c r="L170" s="31" t="s">
        <v>776</v>
      </c>
    </row>
    <row r="171" spans="5:12" ht="15" customHeight="1">
      <c r="E171" s="29" t="s">
        <v>777</v>
      </c>
      <c r="F171" s="30">
        <v>170</v>
      </c>
      <c r="G171" s="29" t="s">
        <v>778</v>
      </c>
      <c r="K171" s="31" t="s">
        <v>779</v>
      </c>
      <c r="L171" s="31" t="s">
        <v>780</v>
      </c>
    </row>
    <row r="172" spans="5:12" ht="15" customHeight="1">
      <c r="E172" s="29" t="s">
        <v>781</v>
      </c>
      <c r="F172" s="30">
        <v>171</v>
      </c>
      <c r="G172" s="29" t="s">
        <v>782</v>
      </c>
      <c r="K172" s="31" t="s">
        <v>783</v>
      </c>
      <c r="L172" s="31" t="s">
        <v>784</v>
      </c>
    </row>
    <row r="173" spans="5:12" ht="15" customHeight="1">
      <c r="E173" s="29" t="s">
        <v>785</v>
      </c>
      <c r="F173" s="30">
        <v>172</v>
      </c>
      <c r="G173" s="29" t="s">
        <v>786</v>
      </c>
      <c r="K173" s="31" t="s">
        <v>787</v>
      </c>
      <c r="L173" s="31" t="s">
        <v>788</v>
      </c>
    </row>
    <row r="174" spans="5:12" ht="15" customHeight="1">
      <c r="E174" s="29" t="s">
        <v>789</v>
      </c>
      <c r="F174" s="30">
        <v>173</v>
      </c>
      <c r="G174" s="29" t="s">
        <v>790</v>
      </c>
      <c r="K174" s="31" t="s">
        <v>791</v>
      </c>
      <c r="L174" s="31" t="s">
        <v>792</v>
      </c>
    </row>
    <row r="175" spans="5:12" ht="15" customHeight="1">
      <c r="E175" s="29" t="s">
        <v>793</v>
      </c>
      <c r="F175" s="30">
        <v>174</v>
      </c>
      <c r="G175" s="29" t="s">
        <v>794</v>
      </c>
      <c r="K175" s="31" t="s">
        <v>795</v>
      </c>
      <c r="L175" s="31" t="s">
        <v>796</v>
      </c>
    </row>
    <row r="176" spans="5:12" ht="15" customHeight="1">
      <c r="E176" s="29" t="s">
        <v>797</v>
      </c>
      <c r="F176" s="30">
        <v>175</v>
      </c>
      <c r="G176" s="29" t="s">
        <v>798</v>
      </c>
      <c r="K176" s="31" t="s">
        <v>799</v>
      </c>
      <c r="L176" s="31" t="s">
        <v>800</v>
      </c>
    </row>
    <row r="177" spans="5:12" ht="15" customHeight="1">
      <c r="E177" s="29" t="s">
        <v>801</v>
      </c>
      <c r="F177" s="30">
        <v>176</v>
      </c>
      <c r="G177" s="29" t="s">
        <v>802</v>
      </c>
      <c r="K177" s="31" t="s">
        <v>803</v>
      </c>
      <c r="L177" s="31" t="s">
        <v>804</v>
      </c>
    </row>
    <row r="178" spans="5:12" ht="15" customHeight="1">
      <c r="E178" s="29" t="s">
        <v>805</v>
      </c>
      <c r="F178" s="30">
        <v>177</v>
      </c>
      <c r="G178" s="29" t="s">
        <v>806</v>
      </c>
      <c r="K178" s="31" t="s">
        <v>807</v>
      </c>
      <c r="L178" s="31" t="s">
        <v>808</v>
      </c>
    </row>
    <row r="179" spans="5:12" ht="15" customHeight="1">
      <c r="E179" s="29" t="s">
        <v>809</v>
      </c>
      <c r="F179" s="30">
        <v>178</v>
      </c>
      <c r="G179" s="29" t="s">
        <v>810</v>
      </c>
      <c r="K179" s="31" t="s">
        <v>811</v>
      </c>
      <c r="L179" s="31" t="s">
        <v>812</v>
      </c>
    </row>
    <row r="180" spans="5:12" ht="15" customHeight="1">
      <c r="E180" s="29" t="s">
        <v>813</v>
      </c>
      <c r="F180" s="30">
        <v>179</v>
      </c>
      <c r="G180" s="29" t="s">
        <v>814</v>
      </c>
      <c r="K180" s="31" t="s">
        <v>815</v>
      </c>
      <c r="L180" s="31" t="s">
        <v>816</v>
      </c>
    </row>
    <row r="181" spans="5:12" ht="15" customHeight="1">
      <c r="E181" s="29" t="s">
        <v>817</v>
      </c>
      <c r="F181" s="30">
        <v>180</v>
      </c>
      <c r="G181" s="29" t="s">
        <v>818</v>
      </c>
      <c r="K181" s="31" t="s">
        <v>819</v>
      </c>
      <c r="L181" s="31" t="s">
        <v>820</v>
      </c>
    </row>
    <row r="182" spans="5:12" ht="15" customHeight="1">
      <c r="E182" s="29" t="s">
        <v>821</v>
      </c>
      <c r="F182" s="30">
        <v>181</v>
      </c>
      <c r="G182" s="29" t="s">
        <v>822</v>
      </c>
      <c r="K182" s="31" t="s">
        <v>823</v>
      </c>
      <c r="L182" s="31" t="s">
        <v>824</v>
      </c>
    </row>
    <row r="183" spans="5:12" ht="15" customHeight="1">
      <c r="E183" s="29" t="s">
        <v>825</v>
      </c>
      <c r="F183" s="30">
        <v>182</v>
      </c>
      <c r="G183" s="29" t="s">
        <v>826</v>
      </c>
      <c r="K183" s="31" t="s">
        <v>827</v>
      </c>
      <c r="L183" s="31" t="s">
        <v>828</v>
      </c>
    </row>
    <row r="184" spans="5:12" ht="15" customHeight="1">
      <c r="E184" s="29" t="s">
        <v>829</v>
      </c>
      <c r="F184" s="30">
        <v>183</v>
      </c>
      <c r="G184" s="29" t="s">
        <v>830</v>
      </c>
      <c r="K184" s="31" t="s">
        <v>831</v>
      </c>
      <c r="L184" s="31" t="s">
        <v>832</v>
      </c>
    </row>
    <row r="185" spans="5:12" ht="15" customHeight="1">
      <c r="E185" s="29" t="s">
        <v>833</v>
      </c>
      <c r="F185" s="30">
        <v>184</v>
      </c>
      <c r="G185" s="29" t="s">
        <v>834</v>
      </c>
      <c r="K185" s="31" t="s">
        <v>835</v>
      </c>
      <c r="L185" s="31" t="s">
        <v>836</v>
      </c>
    </row>
    <row r="186" spans="5:12" ht="15" customHeight="1">
      <c r="E186" s="29" t="s">
        <v>837</v>
      </c>
      <c r="F186" s="30">
        <v>185</v>
      </c>
      <c r="G186" s="29" t="s">
        <v>838</v>
      </c>
      <c r="K186" s="31" t="s">
        <v>839</v>
      </c>
      <c r="L186" s="31" t="s">
        <v>840</v>
      </c>
    </row>
    <row r="187" spans="5:12" ht="15" customHeight="1">
      <c r="E187" s="29" t="s">
        <v>841</v>
      </c>
      <c r="F187" s="30">
        <v>186</v>
      </c>
      <c r="G187" s="29" t="s">
        <v>842</v>
      </c>
      <c r="K187" s="31" t="s">
        <v>843</v>
      </c>
      <c r="L187" s="31" t="s">
        <v>844</v>
      </c>
    </row>
    <row r="188" spans="5:12" ht="15" customHeight="1">
      <c r="E188" s="29" t="s">
        <v>845</v>
      </c>
      <c r="F188" s="30">
        <v>187</v>
      </c>
      <c r="G188" s="29" t="s">
        <v>846</v>
      </c>
      <c r="K188" s="31" t="s">
        <v>847</v>
      </c>
      <c r="L188" s="31" t="s">
        <v>848</v>
      </c>
    </row>
    <row r="189" spans="5:12" ht="15" customHeight="1">
      <c r="E189" s="29" t="s">
        <v>849</v>
      </c>
      <c r="F189" s="30">
        <v>188</v>
      </c>
      <c r="G189" s="29" t="s">
        <v>850</v>
      </c>
      <c r="K189" s="31" t="s">
        <v>851</v>
      </c>
      <c r="L189" s="31" t="s">
        <v>852</v>
      </c>
    </row>
    <row r="190" spans="5:12" ht="15" customHeight="1">
      <c r="E190" s="29" t="s">
        <v>853</v>
      </c>
      <c r="F190" s="30">
        <v>189</v>
      </c>
      <c r="G190" s="29" t="s">
        <v>854</v>
      </c>
      <c r="K190" s="31" t="s">
        <v>855</v>
      </c>
      <c r="L190" s="31" t="s">
        <v>856</v>
      </c>
    </row>
    <row r="191" spans="5:12" ht="15" customHeight="1">
      <c r="E191" s="29" t="s">
        <v>857</v>
      </c>
      <c r="F191" s="30">
        <v>190</v>
      </c>
      <c r="G191" s="29" t="s">
        <v>858</v>
      </c>
      <c r="K191" s="31" t="s">
        <v>859</v>
      </c>
      <c r="L191" s="31" t="s">
        <v>860</v>
      </c>
    </row>
    <row r="192" spans="5:12" ht="15" customHeight="1">
      <c r="E192" s="29" t="s">
        <v>861</v>
      </c>
      <c r="F192" s="30">
        <v>191</v>
      </c>
      <c r="G192" s="29" t="s">
        <v>862</v>
      </c>
      <c r="K192" s="31" t="s">
        <v>863</v>
      </c>
      <c r="L192" s="31" t="s">
        <v>864</v>
      </c>
    </row>
    <row r="193" spans="5:12" ht="15" customHeight="1">
      <c r="E193" s="29" t="s">
        <v>865</v>
      </c>
      <c r="F193" s="30">
        <v>192</v>
      </c>
      <c r="G193" s="29" t="s">
        <v>866</v>
      </c>
      <c r="K193" s="31" t="s">
        <v>867</v>
      </c>
      <c r="L193" s="31" t="s">
        <v>868</v>
      </c>
    </row>
    <row r="194" spans="5:12" ht="15" customHeight="1">
      <c r="E194" s="29" t="s">
        <v>101</v>
      </c>
      <c r="F194" s="30">
        <v>193</v>
      </c>
      <c r="G194" s="29" t="s">
        <v>869</v>
      </c>
      <c r="K194" s="31" t="s">
        <v>870</v>
      </c>
      <c r="L194" s="31" t="s">
        <v>871</v>
      </c>
    </row>
    <row r="195" spans="5:12" ht="15" customHeight="1">
      <c r="E195" s="29" t="s">
        <v>872</v>
      </c>
      <c r="F195" s="30">
        <v>194</v>
      </c>
      <c r="G195" s="29" t="s">
        <v>873</v>
      </c>
      <c r="K195" s="31" t="s">
        <v>874</v>
      </c>
      <c r="L195" s="31" t="s">
        <v>875</v>
      </c>
    </row>
    <row r="196" spans="5:12" ht="15" customHeight="1">
      <c r="E196" s="29" t="s">
        <v>876</v>
      </c>
      <c r="F196" s="30">
        <v>195</v>
      </c>
      <c r="G196" s="29" t="s">
        <v>877</v>
      </c>
      <c r="K196" s="31" t="s">
        <v>878</v>
      </c>
      <c r="L196" s="31" t="s">
        <v>879</v>
      </c>
    </row>
    <row r="197" spans="5:12" ht="15" customHeight="1">
      <c r="E197" s="29" t="s">
        <v>880</v>
      </c>
      <c r="F197" s="30">
        <v>196</v>
      </c>
      <c r="G197" s="29" t="s">
        <v>881</v>
      </c>
      <c r="K197" s="31" t="s">
        <v>882</v>
      </c>
      <c r="L197" s="31" t="s">
        <v>883</v>
      </c>
    </row>
    <row r="198" spans="5:12" ht="15" customHeight="1">
      <c r="E198" s="29" t="s">
        <v>120</v>
      </c>
      <c r="F198" s="30">
        <v>197</v>
      </c>
      <c r="G198" s="29" t="s">
        <v>884</v>
      </c>
      <c r="K198" s="31" t="s">
        <v>885</v>
      </c>
      <c r="L198" s="31" t="s">
        <v>886</v>
      </c>
    </row>
    <row r="199" spans="5:12" ht="15" customHeight="1">
      <c r="E199" s="29" t="s">
        <v>887</v>
      </c>
      <c r="F199" s="30">
        <v>198</v>
      </c>
      <c r="G199" s="29" t="s">
        <v>888</v>
      </c>
      <c r="K199" s="31" t="s">
        <v>889</v>
      </c>
      <c r="L199" s="31" t="s">
        <v>890</v>
      </c>
    </row>
    <row r="200" spans="5:12" ht="15" customHeight="1">
      <c r="E200" s="29" t="s">
        <v>891</v>
      </c>
      <c r="F200" s="30">
        <v>199</v>
      </c>
      <c r="G200" s="29" t="s">
        <v>892</v>
      </c>
      <c r="K200" s="31" t="s">
        <v>893</v>
      </c>
      <c r="L200" s="31" t="s">
        <v>894</v>
      </c>
    </row>
    <row r="201" spans="5:12" ht="15" customHeight="1">
      <c r="E201" s="29" t="s">
        <v>895</v>
      </c>
      <c r="F201" s="30">
        <v>200</v>
      </c>
      <c r="G201" s="29" t="s">
        <v>896</v>
      </c>
      <c r="K201" s="31" t="s">
        <v>897</v>
      </c>
      <c r="L201" s="31" t="s">
        <v>898</v>
      </c>
    </row>
    <row r="202" spans="5:12" ht="15" customHeight="1">
      <c r="E202" s="29" t="s">
        <v>899</v>
      </c>
      <c r="F202" s="30">
        <v>201</v>
      </c>
      <c r="G202" s="29" t="s">
        <v>900</v>
      </c>
      <c r="K202" s="31" t="s">
        <v>901</v>
      </c>
      <c r="L202" s="31" t="s">
        <v>902</v>
      </c>
    </row>
    <row r="203" spans="5:12" ht="15" customHeight="1">
      <c r="E203" s="29" t="s">
        <v>903</v>
      </c>
      <c r="F203" s="30">
        <v>202</v>
      </c>
      <c r="G203" s="29" t="s">
        <v>904</v>
      </c>
      <c r="K203" s="31" t="s">
        <v>905</v>
      </c>
      <c r="L203" s="31" t="s">
        <v>906</v>
      </c>
    </row>
    <row r="204" spans="5:12" ht="15" customHeight="1">
      <c r="E204" s="29" t="s">
        <v>907</v>
      </c>
      <c r="F204" s="30">
        <v>203</v>
      </c>
      <c r="G204" s="29" t="s">
        <v>908</v>
      </c>
      <c r="K204" s="31" t="s">
        <v>909</v>
      </c>
      <c r="L204" s="31" t="s">
        <v>910</v>
      </c>
    </row>
    <row r="205" spans="5:12" ht="15" customHeight="1">
      <c r="E205" s="29" t="s">
        <v>911</v>
      </c>
      <c r="F205" s="30">
        <v>204</v>
      </c>
      <c r="G205" s="29" t="s">
        <v>912</v>
      </c>
      <c r="K205" s="31" t="s">
        <v>913</v>
      </c>
      <c r="L205" s="31" t="s">
        <v>914</v>
      </c>
    </row>
    <row r="206" spans="5:12" ht="15" customHeight="1">
      <c r="E206" s="29" t="s">
        <v>915</v>
      </c>
      <c r="F206" s="30">
        <v>205</v>
      </c>
      <c r="G206" s="29" t="s">
        <v>916</v>
      </c>
      <c r="K206" s="31" t="s">
        <v>917</v>
      </c>
      <c r="L206" s="31" t="s">
        <v>918</v>
      </c>
    </row>
    <row r="207" spans="5:12" ht="15" customHeight="1">
      <c r="E207" s="29" t="s">
        <v>919</v>
      </c>
      <c r="F207" s="30">
        <v>206</v>
      </c>
      <c r="G207" s="29" t="s">
        <v>920</v>
      </c>
      <c r="K207" s="31" t="s">
        <v>921</v>
      </c>
      <c r="L207" s="31" t="s">
        <v>922</v>
      </c>
    </row>
    <row r="208" spans="5:12" ht="15" customHeight="1">
      <c r="E208" s="29" t="s">
        <v>923</v>
      </c>
      <c r="F208" s="30">
        <v>207</v>
      </c>
      <c r="G208" s="29" t="s">
        <v>924</v>
      </c>
      <c r="K208" s="31" t="s">
        <v>925</v>
      </c>
      <c r="L208" s="31" t="s">
        <v>926</v>
      </c>
    </row>
    <row r="209" spans="5:12" ht="15" customHeight="1">
      <c r="E209" s="29" t="s">
        <v>927</v>
      </c>
      <c r="F209" s="30">
        <v>208</v>
      </c>
      <c r="G209" s="29" t="s">
        <v>928</v>
      </c>
      <c r="K209" s="31" t="s">
        <v>929</v>
      </c>
      <c r="L209" s="31" t="s">
        <v>930</v>
      </c>
    </row>
    <row r="210" spans="5:12" ht="15" customHeight="1">
      <c r="E210" s="29" t="s">
        <v>931</v>
      </c>
      <c r="F210" s="30">
        <v>209</v>
      </c>
      <c r="G210" s="29" t="s">
        <v>932</v>
      </c>
      <c r="K210" s="31" t="s">
        <v>933</v>
      </c>
      <c r="L210" s="31" t="s">
        <v>934</v>
      </c>
    </row>
    <row r="211" spans="5:12" ht="15" customHeight="1">
      <c r="E211" s="29" t="s">
        <v>935</v>
      </c>
      <c r="F211" s="30">
        <v>210</v>
      </c>
      <c r="G211" s="29" t="s">
        <v>936</v>
      </c>
      <c r="K211" s="31" t="s">
        <v>937</v>
      </c>
      <c r="L211" s="31" t="s">
        <v>938</v>
      </c>
    </row>
    <row r="212" spans="5:12" ht="15" customHeight="1">
      <c r="E212" s="29" t="s">
        <v>939</v>
      </c>
      <c r="F212" s="30">
        <v>211</v>
      </c>
      <c r="G212" s="29" t="s">
        <v>940</v>
      </c>
      <c r="K212" s="31" t="s">
        <v>941</v>
      </c>
      <c r="L212" s="31" t="s">
        <v>942</v>
      </c>
    </row>
    <row r="213" spans="5:12" ht="15" customHeight="1">
      <c r="E213" s="29" t="s">
        <v>943</v>
      </c>
      <c r="F213" s="30">
        <v>212</v>
      </c>
      <c r="G213" s="29" t="s">
        <v>944</v>
      </c>
      <c r="K213" s="31" t="s">
        <v>945</v>
      </c>
      <c r="L213" s="31" t="s">
        <v>946</v>
      </c>
    </row>
    <row r="214" spans="5:12" ht="15" customHeight="1">
      <c r="E214" s="29" t="s">
        <v>947</v>
      </c>
      <c r="F214" s="30">
        <v>213</v>
      </c>
      <c r="G214" s="29" t="s">
        <v>948</v>
      </c>
      <c r="K214" s="31" t="s">
        <v>949</v>
      </c>
      <c r="L214" s="31" t="s">
        <v>950</v>
      </c>
    </row>
    <row r="215" spans="5:12" ht="15" customHeight="1">
      <c r="E215" s="29" t="s">
        <v>951</v>
      </c>
      <c r="F215" s="30">
        <v>214</v>
      </c>
      <c r="G215" s="29" t="s">
        <v>952</v>
      </c>
      <c r="K215" s="31" t="s">
        <v>953</v>
      </c>
      <c r="L215" s="31" t="s">
        <v>954</v>
      </c>
    </row>
    <row r="216" spans="5:12" ht="15" customHeight="1">
      <c r="E216" s="29" t="s">
        <v>955</v>
      </c>
      <c r="F216" s="30">
        <v>215</v>
      </c>
      <c r="G216" s="29" t="s">
        <v>956</v>
      </c>
      <c r="K216" s="31" t="s">
        <v>957</v>
      </c>
      <c r="L216" s="31" t="s">
        <v>958</v>
      </c>
    </row>
    <row r="217" spans="5:12" ht="15" customHeight="1">
      <c r="E217" s="29" t="s">
        <v>959</v>
      </c>
      <c r="F217" s="30">
        <v>216</v>
      </c>
      <c r="G217" s="29" t="s">
        <v>960</v>
      </c>
      <c r="K217" s="31" t="s">
        <v>961</v>
      </c>
      <c r="L217" s="31" t="s">
        <v>962</v>
      </c>
    </row>
    <row r="218" spans="5:12" ht="15" customHeight="1">
      <c r="E218" s="29" t="s">
        <v>963</v>
      </c>
      <c r="F218" s="30">
        <v>217</v>
      </c>
      <c r="G218" s="29" t="s">
        <v>964</v>
      </c>
      <c r="K218" s="31" t="s">
        <v>965</v>
      </c>
      <c r="L218" s="31" t="s">
        <v>966</v>
      </c>
    </row>
    <row r="219" spans="5:12" ht="15" customHeight="1">
      <c r="E219" s="29" t="s">
        <v>967</v>
      </c>
      <c r="F219" s="30">
        <v>218</v>
      </c>
      <c r="G219" s="29" t="s">
        <v>968</v>
      </c>
      <c r="K219" s="31" t="s">
        <v>969</v>
      </c>
      <c r="L219" s="31" t="s">
        <v>970</v>
      </c>
    </row>
    <row r="220" spans="5:12" ht="15" customHeight="1">
      <c r="E220" s="29" t="s">
        <v>971</v>
      </c>
      <c r="F220" s="30">
        <v>219</v>
      </c>
      <c r="G220" s="29" t="s">
        <v>972</v>
      </c>
      <c r="K220" s="31" t="s">
        <v>973</v>
      </c>
      <c r="L220" s="31" t="s">
        <v>974</v>
      </c>
    </row>
    <row r="221" spans="5:12" ht="15" customHeight="1">
      <c r="E221" s="29" t="s">
        <v>975</v>
      </c>
      <c r="F221" s="30">
        <v>220</v>
      </c>
      <c r="G221" s="29" t="s">
        <v>976</v>
      </c>
      <c r="K221" s="31" t="s">
        <v>977</v>
      </c>
      <c r="L221" s="31" t="s">
        <v>978</v>
      </c>
    </row>
    <row r="222" spans="5:12" ht="15" customHeight="1">
      <c r="E222" s="29" t="s">
        <v>979</v>
      </c>
      <c r="F222" s="30">
        <v>221</v>
      </c>
      <c r="G222" s="29" t="s">
        <v>980</v>
      </c>
      <c r="K222" s="31" t="s">
        <v>981</v>
      </c>
      <c r="L222" s="31" t="s">
        <v>982</v>
      </c>
    </row>
    <row r="223" spans="5:12" ht="15" customHeight="1">
      <c r="E223" s="29" t="s">
        <v>983</v>
      </c>
      <c r="F223" s="30">
        <v>222</v>
      </c>
      <c r="G223" s="29" t="s">
        <v>984</v>
      </c>
      <c r="K223" s="31" t="s">
        <v>985</v>
      </c>
      <c r="L223" s="31" t="s">
        <v>986</v>
      </c>
    </row>
    <row r="224" spans="5:12" ht="15" customHeight="1">
      <c r="E224" s="29" t="s">
        <v>987</v>
      </c>
      <c r="F224" s="30">
        <v>223</v>
      </c>
      <c r="G224" s="29" t="s">
        <v>988</v>
      </c>
      <c r="K224" s="31" t="s">
        <v>989</v>
      </c>
      <c r="L224" s="31" t="s">
        <v>990</v>
      </c>
    </row>
    <row r="225" spans="5:12" ht="15" customHeight="1">
      <c r="E225" s="29" t="s">
        <v>991</v>
      </c>
      <c r="F225" s="30">
        <v>224</v>
      </c>
      <c r="G225" s="29" t="s">
        <v>992</v>
      </c>
      <c r="K225" s="31" t="s">
        <v>993</v>
      </c>
      <c r="L225" s="31" t="s">
        <v>994</v>
      </c>
    </row>
    <row r="226" spans="5:12" ht="15" customHeight="1">
      <c r="E226" s="29" t="s">
        <v>995</v>
      </c>
      <c r="F226" s="30">
        <v>225</v>
      </c>
      <c r="G226" s="29" t="s">
        <v>996</v>
      </c>
      <c r="K226" s="31" t="s">
        <v>997</v>
      </c>
      <c r="L226" s="31" t="s">
        <v>998</v>
      </c>
    </row>
    <row r="227" spans="5:12" ht="15" customHeight="1">
      <c r="E227" s="29" t="s">
        <v>999</v>
      </c>
      <c r="F227" s="30">
        <v>226</v>
      </c>
      <c r="G227" s="29" t="s">
        <v>1000</v>
      </c>
      <c r="K227" s="31" t="s">
        <v>1001</v>
      </c>
      <c r="L227" s="31" t="s">
        <v>1002</v>
      </c>
    </row>
    <row r="228" spans="5:12" ht="15" customHeight="1">
      <c r="E228" s="29" t="s">
        <v>1003</v>
      </c>
      <c r="F228" s="30">
        <v>227</v>
      </c>
      <c r="G228" s="29" t="s">
        <v>1004</v>
      </c>
      <c r="K228" s="31" t="s">
        <v>1005</v>
      </c>
      <c r="L228" s="31" t="s">
        <v>1006</v>
      </c>
    </row>
    <row r="229" spans="5:12" ht="15" customHeight="1">
      <c r="E229" s="29" t="s">
        <v>1007</v>
      </c>
      <c r="F229" s="30">
        <v>228</v>
      </c>
      <c r="G229" s="29" t="s">
        <v>1008</v>
      </c>
      <c r="K229" s="31" t="s">
        <v>1009</v>
      </c>
      <c r="L229" s="31" t="s">
        <v>1010</v>
      </c>
    </row>
    <row r="230" spans="5:12" ht="15" customHeight="1">
      <c r="E230" s="29" t="s">
        <v>1011</v>
      </c>
      <c r="F230" s="30">
        <v>229</v>
      </c>
      <c r="G230" s="29" t="s">
        <v>1012</v>
      </c>
      <c r="K230" s="31" t="s">
        <v>1013</v>
      </c>
      <c r="L230" s="31" t="s">
        <v>1014</v>
      </c>
    </row>
    <row r="231" spans="5:12" ht="15" customHeight="1">
      <c r="E231" s="29" t="s">
        <v>1015</v>
      </c>
      <c r="F231" s="30">
        <v>230</v>
      </c>
      <c r="G231" s="29" t="s">
        <v>1016</v>
      </c>
      <c r="K231" s="31" t="s">
        <v>1017</v>
      </c>
      <c r="L231" s="31" t="s">
        <v>1018</v>
      </c>
    </row>
    <row r="232" spans="5:12" ht="15" customHeight="1">
      <c r="E232" s="29" t="s">
        <v>199</v>
      </c>
      <c r="F232" s="30">
        <v>231</v>
      </c>
      <c r="G232" s="29" t="s">
        <v>1019</v>
      </c>
      <c r="K232" s="31" t="s">
        <v>1020</v>
      </c>
      <c r="L232" s="31" t="s">
        <v>1021</v>
      </c>
    </row>
    <row r="233" spans="5:12" ht="15" customHeight="1">
      <c r="E233" s="29" t="s">
        <v>1022</v>
      </c>
      <c r="F233" s="30">
        <v>232</v>
      </c>
      <c r="G233" s="29" t="s">
        <v>1023</v>
      </c>
      <c r="K233" s="31" t="s">
        <v>1024</v>
      </c>
      <c r="L233" s="31" t="s">
        <v>1025</v>
      </c>
    </row>
    <row r="234" spans="5:12" ht="15" customHeight="1">
      <c r="E234" s="29" t="s">
        <v>1026</v>
      </c>
      <c r="F234" s="30">
        <v>233</v>
      </c>
      <c r="G234" s="29" t="s">
        <v>1027</v>
      </c>
      <c r="K234" s="31" t="s">
        <v>1028</v>
      </c>
      <c r="L234" s="31" t="s">
        <v>1029</v>
      </c>
    </row>
    <row r="235" spans="5:12" ht="15" customHeight="1">
      <c r="E235" s="29" t="s">
        <v>1030</v>
      </c>
      <c r="F235" s="30">
        <v>234</v>
      </c>
      <c r="G235" s="29" t="s">
        <v>1031</v>
      </c>
      <c r="K235" s="31" t="s">
        <v>1032</v>
      </c>
      <c r="L235" s="31" t="s">
        <v>1033</v>
      </c>
    </row>
    <row r="236" spans="5:12" ht="15" customHeight="1">
      <c r="E236" s="29" t="s">
        <v>1034</v>
      </c>
      <c r="F236" s="30">
        <v>235</v>
      </c>
      <c r="G236" s="29" t="s">
        <v>1035</v>
      </c>
      <c r="K236" s="31" t="s">
        <v>1036</v>
      </c>
      <c r="L236" s="31" t="s">
        <v>1037</v>
      </c>
    </row>
    <row r="237" spans="5:12" ht="15" customHeight="1">
      <c r="E237" s="29" t="s">
        <v>1038</v>
      </c>
      <c r="F237" s="30">
        <v>236</v>
      </c>
      <c r="G237" s="29" t="s">
        <v>1039</v>
      </c>
      <c r="K237" s="31" t="s">
        <v>1040</v>
      </c>
      <c r="L237" s="31" t="s">
        <v>1041</v>
      </c>
    </row>
    <row r="238" spans="5:12" ht="15" customHeight="1">
      <c r="E238" s="29" t="s">
        <v>1042</v>
      </c>
      <c r="F238" s="30">
        <v>237</v>
      </c>
      <c r="G238" s="29" t="s">
        <v>1043</v>
      </c>
      <c r="K238" s="31" t="s">
        <v>1044</v>
      </c>
      <c r="L238" s="31" t="s">
        <v>1045</v>
      </c>
    </row>
    <row r="239" spans="5:12" ht="15" customHeight="1">
      <c r="E239" s="29" t="s">
        <v>1046</v>
      </c>
      <c r="F239" s="30">
        <v>238</v>
      </c>
      <c r="G239" s="29" t="s">
        <v>1047</v>
      </c>
      <c r="K239" s="31" t="s">
        <v>1048</v>
      </c>
      <c r="L239" s="31" t="s">
        <v>1049</v>
      </c>
    </row>
    <row r="240" spans="5:12" ht="15" customHeight="1">
      <c r="E240" s="29" t="s">
        <v>1050</v>
      </c>
      <c r="F240" s="30">
        <v>239</v>
      </c>
      <c r="G240" s="29" t="s">
        <v>1051</v>
      </c>
      <c r="K240" s="31" t="s">
        <v>1052</v>
      </c>
      <c r="L240" s="31" t="s">
        <v>1053</v>
      </c>
    </row>
    <row r="241" spans="5:12" ht="15" customHeight="1">
      <c r="E241" s="29" t="s">
        <v>1054</v>
      </c>
      <c r="F241" s="30">
        <v>240</v>
      </c>
      <c r="G241" s="29" t="s">
        <v>1055</v>
      </c>
      <c r="K241" s="31" t="s">
        <v>1056</v>
      </c>
      <c r="L241" s="31" t="s">
        <v>1057</v>
      </c>
    </row>
    <row r="242" spans="5:12" ht="15" customHeight="1">
      <c r="E242" s="29" t="s">
        <v>1058</v>
      </c>
      <c r="F242" s="30">
        <v>241</v>
      </c>
      <c r="G242" s="29" t="s">
        <v>1059</v>
      </c>
      <c r="K242" s="31" t="s">
        <v>1060</v>
      </c>
      <c r="L242" s="31" t="s">
        <v>1061</v>
      </c>
    </row>
    <row r="243" spans="5:12" ht="15" customHeight="1">
      <c r="E243" s="29" t="s">
        <v>1062</v>
      </c>
      <c r="F243" s="30">
        <v>242</v>
      </c>
      <c r="G243" s="29" t="s">
        <v>1063</v>
      </c>
      <c r="K243" s="31" t="s">
        <v>1064</v>
      </c>
      <c r="L243" s="31" t="s">
        <v>1065</v>
      </c>
    </row>
    <row r="244" spans="5:12" ht="15" customHeight="1">
      <c r="E244" s="29" t="s">
        <v>1066</v>
      </c>
      <c r="F244" s="30">
        <v>243</v>
      </c>
      <c r="G244" s="29" t="s">
        <v>1067</v>
      </c>
      <c r="K244" s="31" t="s">
        <v>1068</v>
      </c>
      <c r="L244" s="31" t="s">
        <v>1069</v>
      </c>
    </row>
    <row r="245" spans="5:12" ht="15" customHeight="1">
      <c r="E245" s="29" t="s">
        <v>1070</v>
      </c>
      <c r="F245" s="30">
        <v>244</v>
      </c>
      <c r="G245" s="29" t="s">
        <v>1071</v>
      </c>
      <c r="K245" s="31" t="s">
        <v>1072</v>
      </c>
      <c r="L245" s="31" t="s">
        <v>1073</v>
      </c>
    </row>
    <row r="246" spans="5:12" ht="15" customHeight="1">
      <c r="E246" s="29" t="s">
        <v>1074</v>
      </c>
      <c r="F246" s="30">
        <v>245</v>
      </c>
      <c r="G246" s="29" t="s">
        <v>1075</v>
      </c>
      <c r="K246" s="31" t="s">
        <v>1076</v>
      </c>
      <c r="L246" s="31" t="s">
        <v>1077</v>
      </c>
    </row>
    <row r="247" spans="5:12" ht="15" customHeight="1">
      <c r="E247" s="29" t="s">
        <v>1078</v>
      </c>
      <c r="F247" s="30">
        <v>246</v>
      </c>
      <c r="G247" s="29" t="s">
        <v>1079</v>
      </c>
      <c r="K247" s="31" t="s">
        <v>1080</v>
      </c>
      <c r="L247" s="31" t="s">
        <v>1081</v>
      </c>
    </row>
    <row r="248" spans="5:12" ht="15" customHeight="1">
      <c r="E248" s="29" t="s">
        <v>1082</v>
      </c>
      <c r="F248" s="30">
        <v>247</v>
      </c>
      <c r="G248" s="29" t="s">
        <v>1083</v>
      </c>
      <c r="K248" s="31" t="s">
        <v>1084</v>
      </c>
      <c r="L248" s="31" t="s">
        <v>1085</v>
      </c>
    </row>
    <row r="249" spans="5:12" ht="15" customHeight="1">
      <c r="E249" s="29" t="s">
        <v>1086</v>
      </c>
      <c r="F249" s="30">
        <v>248</v>
      </c>
      <c r="G249" s="29" t="s">
        <v>1087</v>
      </c>
      <c r="K249" s="31" t="s">
        <v>1088</v>
      </c>
      <c r="L249" s="31" t="s">
        <v>1089</v>
      </c>
    </row>
    <row r="250" spans="5:12" ht="15" customHeight="1">
      <c r="E250" s="29" t="s">
        <v>1090</v>
      </c>
      <c r="F250" s="30">
        <v>249</v>
      </c>
      <c r="G250" s="29" t="s">
        <v>1091</v>
      </c>
      <c r="K250" s="31" t="s">
        <v>1092</v>
      </c>
      <c r="L250" s="31" t="s">
        <v>1093</v>
      </c>
    </row>
    <row r="251" spans="5:12" ht="15" customHeight="1">
      <c r="K251" s="31" t="s">
        <v>1094</v>
      </c>
      <c r="L251" s="31" t="s">
        <v>1095</v>
      </c>
    </row>
    <row r="252" spans="5:12" ht="15" customHeight="1">
      <c r="K252" s="31" t="s">
        <v>1096</v>
      </c>
      <c r="L252" s="31" t="s">
        <v>1097</v>
      </c>
    </row>
    <row r="253" spans="5:12" ht="15" customHeight="1">
      <c r="K253" s="31" t="s">
        <v>1098</v>
      </c>
      <c r="L253" s="31" t="s">
        <v>1099</v>
      </c>
    </row>
    <row r="254" spans="5:12" ht="15" customHeight="1">
      <c r="K254" s="31" t="s">
        <v>1100</v>
      </c>
      <c r="L254" s="31" t="s">
        <v>1101</v>
      </c>
    </row>
    <row r="255" spans="5:12" ht="15" customHeight="1">
      <c r="K255" s="31" t="s">
        <v>1102</v>
      </c>
      <c r="L255" s="31" t="s">
        <v>1103</v>
      </c>
    </row>
    <row r="256" spans="5:12" ht="15" customHeight="1">
      <c r="K256" s="31" t="s">
        <v>1104</v>
      </c>
      <c r="L256" s="31" t="s">
        <v>1105</v>
      </c>
    </row>
    <row r="257" spans="11:12" ht="15" customHeight="1">
      <c r="K257" s="31" t="s">
        <v>1106</v>
      </c>
      <c r="L257" s="31" t="s">
        <v>1107</v>
      </c>
    </row>
    <row r="258" spans="11:12" ht="15" customHeight="1">
      <c r="K258" s="31" t="s">
        <v>1108</v>
      </c>
      <c r="L258" s="31" t="s">
        <v>1109</v>
      </c>
    </row>
    <row r="259" spans="11:12" ht="15" customHeight="1">
      <c r="K259" s="31" t="s">
        <v>1110</v>
      </c>
      <c r="L259" s="31" t="s">
        <v>1111</v>
      </c>
    </row>
    <row r="260" spans="11:12" ht="15" customHeight="1">
      <c r="K260" s="31" t="s">
        <v>1112</v>
      </c>
      <c r="L260" s="31" t="s">
        <v>1113</v>
      </c>
    </row>
    <row r="261" spans="11:12" ht="15" customHeight="1">
      <c r="K261" s="31" t="s">
        <v>1114</v>
      </c>
      <c r="L261" s="31" t="s">
        <v>1115</v>
      </c>
    </row>
    <row r="262" spans="11:12" ht="15" customHeight="1">
      <c r="K262" s="31" t="s">
        <v>1116</v>
      </c>
      <c r="L262" s="31" t="s">
        <v>1117</v>
      </c>
    </row>
    <row r="263" spans="11:12" ht="15" customHeight="1">
      <c r="K263" s="31" t="s">
        <v>1118</v>
      </c>
      <c r="L263" s="31" t="s">
        <v>1119</v>
      </c>
    </row>
    <row r="264" spans="11:12" ht="15" customHeight="1">
      <c r="K264" s="31" t="s">
        <v>1120</v>
      </c>
      <c r="L264" s="31" t="s">
        <v>1121</v>
      </c>
    </row>
    <row r="265" spans="11:12" ht="15" customHeight="1">
      <c r="K265" s="31" t="s">
        <v>1122</v>
      </c>
      <c r="L265" s="31" t="s">
        <v>1123</v>
      </c>
    </row>
    <row r="266" spans="11:12" ht="15" customHeight="1">
      <c r="K266" s="31" t="s">
        <v>1124</v>
      </c>
      <c r="L266" s="31" t="s">
        <v>1125</v>
      </c>
    </row>
    <row r="267" spans="11:12" ht="15" customHeight="1">
      <c r="K267" s="31" t="s">
        <v>1126</v>
      </c>
      <c r="L267" s="31" t="s">
        <v>1127</v>
      </c>
    </row>
    <row r="268" spans="11:12" ht="15" customHeight="1">
      <c r="K268" s="31" t="s">
        <v>1128</v>
      </c>
      <c r="L268" s="31" t="s">
        <v>1129</v>
      </c>
    </row>
    <row r="269" spans="11:12" ht="15" customHeight="1">
      <c r="K269" s="31" t="s">
        <v>1130</v>
      </c>
      <c r="L269" s="31" t="s">
        <v>1131</v>
      </c>
    </row>
    <row r="270" spans="11:12" ht="15" customHeight="1">
      <c r="K270" s="31" t="s">
        <v>1132</v>
      </c>
      <c r="L270" s="31" t="s">
        <v>1133</v>
      </c>
    </row>
    <row r="271" spans="11:12" ht="15" customHeight="1">
      <c r="K271" s="31" t="s">
        <v>1134</v>
      </c>
      <c r="L271" s="31" t="s">
        <v>1135</v>
      </c>
    </row>
    <row r="272" spans="11:12" ht="15" customHeight="1">
      <c r="K272" s="31" t="s">
        <v>1136</v>
      </c>
      <c r="L272" s="31" t="s">
        <v>1137</v>
      </c>
    </row>
    <row r="273" spans="11:12" ht="15" customHeight="1">
      <c r="K273" s="31" t="s">
        <v>1138</v>
      </c>
      <c r="L273" s="31" t="s">
        <v>1139</v>
      </c>
    </row>
    <row r="274" spans="11:12" ht="15" customHeight="1">
      <c r="K274" s="31" t="s">
        <v>1140</v>
      </c>
      <c r="L274" s="31" t="s">
        <v>1141</v>
      </c>
    </row>
    <row r="275" spans="11:12" ht="15" customHeight="1">
      <c r="K275" s="31" t="s">
        <v>1142</v>
      </c>
      <c r="L275" s="31" t="s">
        <v>1143</v>
      </c>
    </row>
    <row r="276" spans="11:12" ht="15" customHeight="1">
      <c r="K276" s="31" t="s">
        <v>1144</v>
      </c>
      <c r="L276" s="31" t="s">
        <v>1145</v>
      </c>
    </row>
    <row r="277" spans="11:12" ht="15" customHeight="1">
      <c r="K277" s="31" t="s">
        <v>1146</v>
      </c>
      <c r="L277" s="31" t="s">
        <v>1147</v>
      </c>
    </row>
    <row r="278" spans="11:12" ht="15" customHeight="1">
      <c r="K278" s="31" t="s">
        <v>1148</v>
      </c>
      <c r="L278" s="31" t="s">
        <v>1149</v>
      </c>
    </row>
    <row r="279" spans="11:12" ht="15" customHeight="1">
      <c r="K279" s="31" t="s">
        <v>1150</v>
      </c>
      <c r="L279" s="31" t="s">
        <v>1151</v>
      </c>
    </row>
    <row r="280" spans="11:12" ht="15" customHeight="1">
      <c r="K280" s="31" t="s">
        <v>1152</v>
      </c>
      <c r="L280" s="31" t="s">
        <v>1153</v>
      </c>
    </row>
    <row r="281" spans="11:12" ht="15" customHeight="1">
      <c r="K281" s="31" t="s">
        <v>1154</v>
      </c>
      <c r="L281" s="31" t="s">
        <v>1155</v>
      </c>
    </row>
    <row r="282" spans="11:12" ht="15" customHeight="1">
      <c r="K282" s="31" t="s">
        <v>1156</v>
      </c>
      <c r="L282" s="31" t="s">
        <v>1157</v>
      </c>
    </row>
    <row r="283" spans="11:12" ht="15" customHeight="1">
      <c r="K283" s="31" t="s">
        <v>1158</v>
      </c>
      <c r="L283" s="31" t="s">
        <v>1159</v>
      </c>
    </row>
    <row r="284" spans="11:12" ht="15" customHeight="1">
      <c r="K284" s="31" t="s">
        <v>1160</v>
      </c>
      <c r="L284" s="31" t="s">
        <v>1161</v>
      </c>
    </row>
    <row r="285" spans="11:12" ht="15" customHeight="1">
      <c r="K285" s="31" t="s">
        <v>1162</v>
      </c>
      <c r="L285" s="31" t="s">
        <v>1163</v>
      </c>
    </row>
    <row r="286" spans="11:12" ht="15" customHeight="1">
      <c r="K286" s="31" t="s">
        <v>1164</v>
      </c>
      <c r="L286" s="31" t="s">
        <v>1165</v>
      </c>
    </row>
    <row r="287" spans="11:12" ht="15" customHeight="1">
      <c r="K287" s="31" t="s">
        <v>1166</v>
      </c>
      <c r="L287" s="31" t="s">
        <v>1167</v>
      </c>
    </row>
    <row r="288" spans="11:12" ht="15" customHeight="1">
      <c r="K288" s="31" t="s">
        <v>1168</v>
      </c>
      <c r="L288" s="31" t="s">
        <v>1169</v>
      </c>
    </row>
    <row r="289" spans="11:12" ht="15" customHeight="1">
      <c r="K289" s="31" t="s">
        <v>1170</v>
      </c>
      <c r="L289" s="31" t="s">
        <v>1171</v>
      </c>
    </row>
    <row r="290" spans="11:12" ht="15" customHeight="1">
      <c r="K290" s="31" t="s">
        <v>1172</v>
      </c>
      <c r="L290" s="31" t="s">
        <v>1173</v>
      </c>
    </row>
    <row r="291" spans="11:12" ht="15" customHeight="1">
      <c r="K291" s="31" t="s">
        <v>1174</v>
      </c>
      <c r="L291" s="31" t="s">
        <v>1175</v>
      </c>
    </row>
    <row r="292" spans="11:12" ht="15" customHeight="1">
      <c r="K292" s="31" t="s">
        <v>1176</v>
      </c>
      <c r="L292" s="31" t="s">
        <v>1177</v>
      </c>
    </row>
    <row r="293" spans="11:12" ht="15" customHeight="1">
      <c r="K293" s="31" t="s">
        <v>1178</v>
      </c>
      <c r="L293" s="31" t="s">
        <v>1179</v>
      </c>
    </row>
    <row r="294" spans="11:12" ht="15" customHeight="1">
      <c r="K294" s="31" t="s">
        <v>1180</v>
      </c>
      <c r="L294" s="31" t="s">
        <v>1181</v>
      </c>
    </row>
    <row r="295" spans="11:12" ht="15" customHeight="1">
      <c r="K295" s="31" t="s">
        <v>1182</v>
      </c>
      <c r="L295" s="31" t="s">
        <v>1183</v>
      </c>
    </row>
    <row r="296" spans="11:12" ht="15" customHeight="1">
      <c r="K296" s="31" t="s">
        <v>1184</v>
      </c>
      <c r="L296" s="31" t="s">
        <v>1185</v>
      </c>
    </row>
    <row r="297" spans="11:12" ht="15" customHeight="1">
      <c r="K297" s="31" t="s">
        <v>1186</v>
      </c>
      <c r="L297" s="31" t="s">
        <v>1187</v>
      </c>
    </row>
    <row r="298" spans="11:12" ht="15" customHeight="1">
      <c r="K298" s="31" t="s">
        <v>1188</v>
      </c>
      <c r="L298" s="31" t="s">
        <v>1189</v>
      </c>
    </row>
    <row r="299" spans="11:12" ht="15" customHeight="1">
      <c r="K299" s="31" t="s">
        <v>1190</v>
      </c>
      <c r="L299" s="31" t="s">
        <v>1191</v>
      </c>
    </row>
    <row r="300" spans="11:12" ht="15" customHeight="1">
      <c r="K300" s="31" t="s">
        <v>1192</v>
      </c>
      <c r="L300" s="31" t="s">
        <v>1193</v>
      </c>
    </row>
    <row r="301" spans="11:12" ht="15" customHeight="1">
      <c r="K301" s="31" t="s">
        <v>1194</v>
      </c>
      <c r="L301" s="31" t="s">
        <v>1195</v>
      </c>
    </row>
    <row r="302" spans="11:12" ht="15" customHeight="1">
      <c r="K302" s="31" t="s">
        <v>1196</v>
      </c>
      <c r="L302" s="31" t="s">
        <v>1197</v>
      </c>
    </row>
    <row r="303" spans="11:12" ht="15" customHeight="1">
      <c r="K303" s="31" t="s">
        <v>1198</v>
      </c>
      <c r="L303" s="31" t="s">
        <v>1199</v>
      </c>
    </row>
    <row r="304" spans="11:12" ht="15" customHeight="1">
      <c r="K304" s="31" t="s">
        <v>1200</v>
      </c>
      <c r="L304" s="31" t="s">
        <v>1201</v>
      </c>
    </row>
    <row r="305" spans="11:12" ht="15" customHeight="1">
      <c r="K305" s="31" t="s">
        <v>1202</v>
      </c>
      <c r="L305" s="31" t="s">
        <v>1203</v>
      </c>
    </row>
    <row r="306" spans="11:12" ht="15" customHeight="1">
      <c r="K306" s="31" t="s">
        <v>1204</v>
      </c>
      <c r="L306" s="31" t="s">
        <v>1205</v>
      </c>
    </row>
    <row r="307" spans="11:12" ht="15" customHeight="1">
      <c r="K307" s="31" t="s">
        <v>1206</v>
      </c>
      <c r="L307" s="31" t="s">
        <v>1207</v>
      </c>
    </row>
    <row r="308" spans="11:12" ht="15" customHeight="1">
      <c r="K308" s="31" t="s">
        <v>1208</v>
      </c>
      <c r="L308" s="31" t="s">
        <v>1209</v>
      </c>
    </row>
    <row r="309" spans="11:12" ht="15" customHeight="1">
      <c r="K309" s="31" t="s">
        <v>1210</v>
      </c>
      <c r="L309" s="31" t="s">
        <v>1211</v>
      </c>
    </row>
    <row r="310" spans="11:12" ht="15" customHeight="1">
      <c r="K310" s="31" t="s">
        <v>1212</v>
      </c>
      <c r="L310" s="31" t="s">
        <v>1213</v>
      </c>
    </row>
    <row r="311" spans="11:12" ht="15" customHeight="1">
      <c r="K311" s="31" t="s">
        <v>1214</v>
      </c>
      <c r="L311" s="31" t="s">
        <v>1215</v>
      </c>
    </row>
    <row r="312" spans="11:12" ht="15" customHeight="1">
      <c r="K312" s="31" t="s">
        <v>1216</v>
      </c>
      <c r="L312" s="31" t="s">
        <v>1217</v>
      </c>
    </row>
    <row r="313" spans="11:12" ht="15" customHeight="1">
      <c r="K313" s="31" t="s">
        <v>1218</v>
      </c>
      <c r="L313" s="31" t="s">
        <v>1219</v>
      </c>
    </row>
    <row r="314" spans="11:12" ht="15" customHeight="1">
      <c r="K314" s="31" t="s">
        <v>1220</v>
      </c>
      <c r="L314" s="31" t="s">
        <v>1221</v>
      </c>
    </row>
    <row r="315" spans="11:12" ht="15" customHeight="1">
      <c r="K315" s="31" t="s">
        <v>1222</v>
      </c>
      <c r="L315" s="31" t="s">
        <v>1223</v>
      </c>
    </row>
    <row r="316" spans="11:12" ht="15" customHeight="1">
      <c r="K316" s="31" t="s">
        <v>1224</v>
      </c>
      <c r="L316" s="31" t="s">
        <v>1225</v>
      </c>
    </row>
    <row r="317" spans="11:12" ht="15" customHeight="1">
      <c r="K317" s="31" t="s">
        <v>1226</v>
      </c>
      <c r="L317" s="31" t="s">
        <v>1227</v>
      </c>
    </row>
    <row r="318" spans="11:12" ht="15" customHeight="1">
      <c r="K318" s="31" t="s">
        <v>1228</v>
      </c>
      <c r="L318" s="31" t="s">
        <v>1229</v>
      </c>
    </row>
    <row r="319" spans="11:12" ht="15" customHeight="1">
      <c r="K319" s="31" t="s">
        <v>1230</v>
      </c>
      <c r="L319" s="31" t="s">
        <v>1231</v>
      </c>
    </row>
    <row r="320" spans="11:12" ht="15" customHeight="1">
      <c r="K320" s="31" t="s">
        <v>1232</v>
      </c>
      <c r="L320" s="31" t="s">
        <v>1233</v>
      </c>
    </row>
    <row r="321" spans="11:12" ht="15" customHeight="1">
      <c r="K321" s="31" t="s">
        <v>1234</v>
      </c>
      <c r="L321" s="31" t="s">
        <v>1235</v>
      </c>
    </row>
    <row r="322" spans="11:12" ht="15" customHeight="1">
      <c r="K322" s="31" t="s">
        <v>1236</v>
      </c>
      <c r="L322" s="31" t="s">
        <v>1237</v>
      </c>
    </row>
    <row r="323" spans="11:12" ht="15" customHeight="1">
      <c r="K323" s="31" t="s">
        <v>1238</v>
      </c>
      <c r="L323" s="31" t="s">
        <v>1239</v>
      </c>
    </row>
    <row r="324" spans="11:12" ht="15" customHeight="1">
      <c r="K324" s="31" t="s">
        <v>1240</v>
      </c>
      <c r="L324" s="31" t="s">
        <v>1241</v>
      </c>
    </row>
    <row r="325" spans="11:12" ht="15" customHeight="1">
      <c r="K325" s="31" t="s">
        <v>1242</v>
      </c>
      <c r="L325" s="31" t="s">
        <v>1243</v>
      </c>
    </row>
    <row r="326" spans="11:12" ht="15" customHeight="1">
      <c r="K326" s="31" t="s">
        <v>1244</v>
      </c>
      <c r="L326" s="31" t="s">
        <v>1245</v>
      </c>
    </row>
    <row r="327" spans="11:12" ht="15" customHeight="1">
      <c r="K327" s="31" t="s">
        <v>1246</v>
      </c>
      <c r="L327" s="31" t="s">
        <v>1247</v>
      </c>
    </row>
    <row r="328" spans="11:12" ht="15" customHeight="1">
      <c r="K328" s="31" t="s">
        <v>1248</v>
      </c>
      <c r="L328" s="31" t="s">
        <v>1249</v>
      </c>
    </row>
    <row r="329" spans="11:12" ht="15" customHeight="1">
      <c r="K329" s="31" t="s">
        <v>1250</v>
      </c>
      <c r="L329" s="31" t="s">
        <v>1251</v>
      </c>
    </row>
    <row r="330" spans="11:12" ht="15" customHeight="1">
      <c r="K330" s="31" t="s">
        <v>1252</v>
      </c>
      <c r="L330" s="31" t="s">
        <v>1253</v>
      </c>
    </row>
    <row r="331" spans="11:12" ht="15" customHeight="1">
      <c r="K331" s="31" t="s">
        <v>1254</v>
      </c>
      <c r="L331" s="31" t="s">
        <v>1255</v>
      </c>
    </row>
    <row r="332" spans="11:12" ht="15" customHeight="1">
      <c r="K332" s="31" t="s">
        <v>1256</v>
      </c>
      <c r="L332" s="31" t="s">
        <v>1257</v>
      </c>
    </row>
    <row r="333" spans="11:12" ht="15" customHeight="1">
      <c r="K333" s="31" t="s">
        <v>1258</v>
      </c>
      <c r="L333" s="31" t="s">
        <v>1259</v>
      </c>
    </row>
    <row r="334" spans="11:12" ht="15" customHeight="1">
      <c r="K334" s="31" t="s">
        <v>1260</v>
      </c>
      <c r="L334" s="31" t="s">
        <v>1261</v>
      </c>
    </row>
    <row r="335" spans="11:12" ht="15" customHeight="1">
      <c r="K335" s="31" t="s">
        <v>1262</v>
      </c>
      <c r="L335" s="31" t="s">
        <v>1263</v>
      </c>
    </row>
    <row r="336" spans="11:12" ht="15" customHeight="1">
      <c r="K336" s="31" t="s">
        <v>1264</v>
      </c>
      <c r="L336" s="31" t="s">
        <v>1265</v>
      </c>
    </row>
    <row r="337" spans="11:12" ht="15" customHeight="1">
      <c r="K337" s="31" t="s">
        <v>1266</v>
      </c>
      <c r="L337" s="31" t="s">
        <v>1267</v>
      </c>
    </row>
    <row r="338" spans="11:12" ht="15" customHeight="1">
      <c r="K338" s="31" t="s">
        <v>1268</v>
      </c>
      <c r="L338" s="31" t="s">
        <v>1269</v>
      </c>
    </row>
    <row r="339" spans="11:12" ht="15" customHeight="1">
      <c r="K339" s="31" t="s">
        <v>1270</v>
      </c>
      <c r="L339" s="31" t="s">
        <v>1271</v>
      </c>
    </row>
    <row r="340" spans="11:12" ht="15" customHeight="1">
      <c r="K340" s="31" t="s">
        <v>1272</v>
      </c>
      <c r="L340" s="31" t="s">
        <v>1273</v>
      </c>
    </row>
    <row r="341" spans="11:12" ht="15" customHeight="1">
      <c r="K341" s="31" t="s">
        <v>1274</v>
      </c>
      <c r="L341" s="31" t="s">
        <v>1275</v>
      </c>
    </row>
    <row r="342" spans="11:12" ht="15" customHeight="1">
      <c r="K342" s="31" t="s">
        <v>1276</v>
      </c>
      <c r="L342" s="31" t="s">
        <v>1277</v>
      </c>
    </row>
    <row r="343" spans="11:12" ht="15" customHeight="1">
      <c r="K343" s="31" t="s">
        <v>1278</v>
      </c>
      <c r="L343" s="31" t="s">
        <v>1279</v>
      </c>
    </row>
    <row r="344" spans="11:12" ht="15" customHeight="1">
      <c r="K344" s="31" t="s">
        <v>1280</v>
      </c>
      <c r="L344" s="31" t="s">
        <v>1281</v>
      </c>
    </row>
    <row r="345" spans="11:12" ht="15" customHeight="1">
      <c r="K345" s="31" t="s">
        <v>1282</v>
      </c>
      <c r="L345" s="31" t="s">
        <v>1283</v>
      </c>
    </row>
    <row r="346" spans="11:12" ht="15" customHeight="1">
      <c r="K346" s="31" t="s">
        <v>1284</v>
      </c>
      <c r="L346" s="31" t="s">
        <v>1285</v>
      </c>
    </row>
    <row r="347" spans="11:12" ht="15" customHeight="1">
      <c r="K347" s="31" t="s">
        <v>1286</v>
      </c>
      <c r="L347" s="31" t="s">
        <v>1287</v>
      </c>
    </row>
    <row r="348" spans="11:12" ht="15" customHeight="1">
      <c r="K348" s="31" t="s">
        <v>1288</v>
      </c>
      <c r="L348" s="31" t="s">
        <v>1289</v>
      </c>
    </row>
    <row r="349" spans="11:12" ht="15" customHeight="1">
      <c r="K349" s="31" t="s">
        <v>1290</v>
      </c>
      <c r="L349" s="31" t="s">
        <v>1291</v>
      </c>
    </row>
    <row r="350" spans="11:12" ht="15" customHeight="1">
      <c r="K350" s="31" t="s">
        <v>1292</v>
      </c>
      <c r="L350" s="31" t="s">
        <v>1293</v>
      </c>
    </row>
    <row r="351" spans="11:12" ht="15" customHeight="1">
      <c r="K351" s="31" t="s">
        <v>1294</v>
      </c>
      <c r="L351" s="31" t="s">
        <v>1295</v>
      </c>
    </row>
    <row r="352" spans="11:12" ht="15" customHeight="1">
      <c r="K352" s="31" t="s">
        <v>1296</v>
      </c>
      <c r="L352" s="31" t="s">
        <v>1297</v>
      </c>
    </row>
    <row r="353" spans="11:12" ht="15" customHeight="1">
      <c r="K353" s="31" t="s">
        <v>1298</v>
      </c>
      <c r="L353" s="31" t="s">
        <v>1299</v>
      </c>
    </row>
    <row r="354" spans="11:12" ht="15" customHeight="1">
      <c r="K354" s="31" t="s">
        <v>1300</v>
      </c>
      <c r="L354" s="31" t="s">
        <v>1301</v>
      </c>
    </row>
    <row r="355" spans="11:12" ht="15" customHeight="1">
      <c r="K355" s="31" t="s">
        <v>1302</v>
      </c>
      <c r="L355" s="31" t="s">
        <v>1303</v>
      </c>
    </row>
    <row r="356" spans="11:12" ht="15" customHeight="1">
      <c r="K356" s="31" t="s">
        <v>1304</v>
      </c>
      <c r="L356" s="31" t="s">
        <v>1305</v>
      </c>
    </row>
    <row r="357" spans="11:12" ht="15" customHeight="1">
      <c r="K357" s="31" t="s">
        <v>1306</v>
      </c>
      <c r="L357" s="31" t="s">
        <v>1307</v>
      </c>
    </row>
    <row r="358" spans="11:12" ht="15" customHeight="1">
      <c r="K358" s="31" t="s">
        <v>1308</v>
      </c>
      <c r="L358" s="31" t="s">
        <v>1309</v>
      </c>
    </row>
    <row r="359" spans="11:12" ht="15" customHeight="1">
      <c r="K359" s="31" t="s">
        <v>1310</v>
      </c>
      <c r="L359" s="31" t="s">
        <v>1311</v>
      </c>
    </row>
    <row r="360" spans="11:12" ht="15" customHeight="1">
      <c r="K360" s="31" t="s">
        <v>1312</v>
      </c>
      <c r="L360" s="31" t="s">
        <v>1313</v>
      </c>
    </row>
    <row r="361" spans="11:12" ht="15" customHeight="1">
      <c r="K361" s="31" t="s">
        <v>1314</v>
      </c>
      <c r="L361" s="31" t="s">
        <v>1315</v>
      </c>
    </row>
    <row r="362" spans="11:12" ht="15" customHeight="1">
      <c r="K362" s="31" t="s">
        <v>1316</v>
      </c>
      <c r="L362" s="31" t="s">
        <v>1317</v>
      </c>
    </row>
    <row r="363" spans="11:12" ht="15" customHeight="1">
      <c r="K363" s="31" t="s">
        <v>1318</v>
      </c>
      <c r="L363" s="31" t="s">
        <v>1319</v>
      </c>
    </row>
    <row r="364" spans="11:12" ht="15" customHeight="1">
      <c r="K364" s="31" t="s">
        <v>1320</v>
      </c>
      <c r="L364" s="31" t="s">
        <v>1321</v>
      </c>
    </row>
    <row r="365" spans="11:12" ht="15" customHeight="1">
      <c r="K365" s="31" t="s">
        <v>1322</v>
      </c>
      <c r="L365" s="31" t="s">
        <v>1323</v>
      </c>
    </row>
    <row r="366" spans="11:12" ht="15" customHeight="1">
      <c r="K366" s="31" t="s">
        <v>1324</v>
      </c>
      <c r="L366" s="31" t="s">
        <v>1325</v>
      </c>
    </row>
    <row r="367" spans="11:12" ht="15" customHeight="1">
      <c r="K367" s="31" t="s">
        <v>1326</v>
      </c>
      <c r="L367" s="31" t="s">
        <v>1327</v>
      </c>
    </row>
    <row r="368" spans="11:12" ht="15" customHeight="1">
      <c r="K368" s="31" t="s">
        <v>1328</v>
      </c>
      <c r="L368" s="31" t="s">
        <v>1329</v>
      </c>
    </row>
    <row r="369" spans="11:12" ht="15" customHeight="1">
      <c r="K369" s="31" t="s">
        <v>1330</v>
      </c>
      <c r="L369" s="31" t="s">
        <v>1331</v>
      </c>
    </row>
    <row r="370" spans="11:12" ht="15" customHeight="1">
      <c r="K370" s="31" t="s">
        <v>1332</v>
      </c>
      <c r="L370" s="31" t="s">
        <v>1333</v>
      </c>
    </row>
    <row r="371" spans="11:12" ht="15" customHeight="1">
      <c r="K371" s="31" t="s">
        <v>1334</v>
      </c>
      <c r="L371" s="31" t="s">
        <v>1335</v>
      </c>
    </row>
    <row r="372" spans="11:12" ht="15" customHeight="1">
      <c r="K372" s="31" t="s">
        <v>1336</v>
      </c>
      <c r="L372" s="31" t="s">
        <v>1337</v>
      </c>
    </row>
    <row r="373" spans="11:12" ht="15" customHeight="1">
      <c r="K373" s="31" t="s">
        <v>1338</v>
      </c>
      <c r="L373" s="31" t="s">
        <v>1339</v>
      </c>
    </row>
    <row r="374" spans="11:12" ht="15" customHeight="1">
      <c r="K374" s="31" t="s">
        <v>1340</v>
      </c>
      <c r="L374" s="31" t="s">
        <v>1341</v>
      </c>
    </row>
    <row r="375" spans="11:12" ht="15" customHeight="1">
      <c r="K375" s="31" t="s">
        <v>1342</v>
      </c>
      <c r="L375" s="31" t="s">
        <v>1343</v>
      </c>
    </row>
    <row r="376" spans="11:12" ht="15" customHeight="1">
      <c r="K376" s="31" t="s">
        <v>1344</v>
      </c>
      <c r="L376" s="31" t="s">
        <v>1345</v>
      </c>
    </row>
    <row r="377" spans="11:12" ht="15" customHeight="1">
      <c r="K377" s="31" t="s">
        <v>1346</v>
      </c>
      <c r="L377" s="31" t="s">
        <v>1347</v>
      </c>
    </row>
    <row r="378" spans="11:12" ht="15" customHeight="1">
      <c r="K378" s="31" t="s">
        <v>1348</v>
      </c>
      <c r="L378" s="31" t="s">
        <v>1349</v>
      </c>
    </row>
    <row r="379" spans="11:12" ht="15" customHeight="1">
      <c r="K379" s="31" t="s">
        <v>1350</v>
      </c>
      <c r="L379" s="31" t="s">
        <v>1351</v>
      </c>
    </row>
    <row r="380" spans="11:12" ht="15" customHeight="1">
      <c r="K380" s="31" t="s">
        <v>1352</v>
      </c>
      <c r="L380" s="31" t="s">
        <v>1353</v>
      </c>
    </row>
    <row r="381" spans="11:12" ht="15" customHeight="1">
      <c r="K381" s="31" t="s">
        <v>1354</v>
      </c>
      <c r="L381" s="31" t="s">
        <v>1355</v>
      </c>
    </row>
    <row r="382" spans="11:12" ht="15" customHeight="1">
      <c r="K382" s="31" t="s">
        <v>1356</v>
      </c>
      <c r="L382" s="31" t="s">
        <v>1357</v>
      </c>
    </row>
    <row r="383" spans="11:12" ht="15" customHeight="1">
      <c r="K383" s="31" t="s">
        <v>1358</v>
      </c>
      <c r="L383" s="31" t="s">
        <v>1359</v>
      </c>
    </row>
    <row r="384" spans="11:12" ht="15" customHeight="1">
      <c r="K384" s="31" t="s">
        <v>1360</v>
      </c>
      <c r="L384" s="31" t="s">
        <v>1361</v>
      </c>
    </row>
    <row r="385" spans="11:12" ht="15" customHeight="1">
      <c r="K385" s="31" t="s">
        <v>1362</v>
      </c>
      <c r="L385" s="31" t="s">
        <v>1363</v>
      </c>
    </row>
    <row r="386" spans="11:12" ht="15" customHeight="1">
      <c r="K386" s="31" t="s">
        <v>1364</v>
      </c>
      <c r="L386" s="31" t="s">
        <v>1365</v>
      </c>
    </row>
    <row r="387" spans="11:12" ht="15" customHeight="1">
      <c r="K387" s="31" t="s">
        <v>1366</v>
      </c>
      <c r="L387" s="31" t="s">
        <v>1367</v>
      </c>
    </row>
    <row r="388" spans="11:12" ht="15" customHeight="1">
      <c r="K388" s="31" t="s">
        <v>1368</v>
      </c>
      <c r="L388" s="31" t="s">
        <v>1369</v>
      </c>
    </row>
    <row r="389" spans="11:12" ht="15" customHeight="1">
      <c r="K389" s="31" t="s">
        <v>1370</v>
      </c>
      <c r="L389" s="31" t="s">
        <v>1371</v>
      </c>
    </row>
    <row r="390" spans="11:12" ht="15" customHeight="1">
      <c r="K390" s="31" t="s">
        <v>1372</v>
      </c>
      <c r="L390" s="31" t="s">
        <v>1373</v>
      </c>
    </row>
    <row r="391" spans="11:12" ht="15" customHeight="1">
      <c r="K391" s="31" t="s">
        <v>1374</v>
      </c>
      <c r="L391" s="31" t="s">
        <v>1375</v>
      </c>
    </row>
    <row r="392" spans="11:12" ht="15" customHeight="1">
      <c r="K392" s="31" t="s">
        <v>1376</v>
      </c>
      <c r="L392" s="31" t="s">
        <v>1377</v>
      </c>
    </row>
    <row r="393" spans="11:12" ht="15" customHeight="1">
      <c r="K393" s="31" t="s">
        <v>1378</v>
      </c>
      <c r="L393" s="31" t="s">
        <v>1379</v>
      </c>
    </row>
    <row r="394" spans="11:12" ht="15" customHeight="1">
      <c r="K394" s="31" t="s">
        <v>1380</v>
      </c>
      <c r="L394" s="31" t="s">
        <v>1381</v>
      </c>
    </row>
    <row r="395" spans="11:12" ht="15" customHeight="1">
      <c r="K395" s="31" t="s">
        <v>1382</v>
      </c>
      <c r="L395" s="31" t="s">
        <v>1383</v>
      </c>
    </row>
    <row r="396" spans="11:12" ht="15" customHeight="1">
      <c r="K396" s="31" t="s">
        <v>1384</v>
      </c>
      <c r="L396" s="31" t="s">
        <v>1385</v>
      </c>
    </row>
    <row r="397" spans="11:12" ht="15" customHeight="1">
      <c r="K397" s="31" t="s">
        <v>1386</v>
      </c>
      <c r="L397" s="31" t="s">
        <v>1387</v>
      </c>
    </row>
    <row r="398" spans="11:12" ht="15" customHeight="1">
      <c r="K398" s="31" t="s">
        <v>1388</v>
      </c>
      <c r="L398" s="31" t="s">
        <v>1389</v>
      </c>
    </row>
    <row r="399" spans="11:12" ht="15" customHeight="1">
      <c r="K399" s="31" t="s">
        <v>1390</v>
      </c>
      <c r="L399" s="31" t="s">
        <v>1391</v>
      </c>
    </row>
    <row r="400" spans="11:12" ht="15" customHeight="1">
      <c r="K400" s="31" t="s">
        <v>1392</v>
      </c>
      <c r="L400" s="31" t="s">
        <v>1393</v>
      </c>
    </row>
    <row r="401" spans="11:12" ht="15" customHeight="1">
      <c r="K401" s="31" t="s">
        <v>1394</v>
      </c>
      <c r="L401" s="31" t="s">
        <v>1395</v>
      </c>
    </row>
    <row r="402" spans="11:12" ht="15" customHeight="1">
      <c r="K402" s="31" t="s">
        <v>1396</v>
      </c>
      <c r="L402" s="31" t="s">
        <v>1397</v>
      </c>
    </row>
    <row r="403" spans="11:12" ht="15" customHeight="1">
      <c r="K403" s="31" t="s">
        <v>1398</v>
      </c>
      <c r="L403" s="31" t="s">
        <v>1399</v>
      </c>
    </row>
    <row r="404" spans="11:12" ht="15" customHeight="1">
      <c r="K404" s="31" t="s">
        <v>1400</v>
      </c>
      <c r="L404" s="31" t="s">
        <v>1401</v>
      </c>
    </row>
    <row r="405" spans="11:12" ht="15" customHeight="1">
      <c r="K405" s="31" t="s">
        <v>1402</v>
      </c>
      <c r="L405" s="31" t="s">
        <v>1403</v>
      </c>
    </row>
    <row r="406" spans="11:12" ht="15" customHeight="1">
      <c r="K406" s="31" t="s">
        <v>1404</v>
      </c>
      <c r="L406" s="31" t="s">
        <v>1405</v>
      </c>
    </row>
    <row r="407" spans="11:12" ht="15" customHeight="1">
      <c r="K407" s="31" t="s">
        <v>1406</v>
      </c>
      <c r="L407" s="31" t="s">
        <v>1407</v>
      </c>
    </row>
    <row r="408" spans="11:12" ht="15" customHeight="1">
      <c r="K408" s="31" t="s">
        <v>1408</v>
      </c>
      <c r="L408" s="31" t="s">
        <v>1409</v>
      </c>
    </row>
    <row r="409" spans="11:12" ht="15" customHeight="1">
      <c r="K409" s="31" t="s">
        <v>1410</v>
      </c>
      <c r="L409" s="31" t="s">
        <v>1411</v>
      </c>
    </row>
    <row r="410" spans="11:12" ht="15" customHeight="1">
      <c r="K410" s="31" t="s">
        <v>1412</v>
      </c>
      <c r="L410" s="31" t="s">
        <v>1413</v>
      </c>
    </row>
    <row r="411" spans="11:12" ht="15" customHeight="1">
      <c r="K411" s="31" t="s">
        <v>1414</v>
      </c>
      <c r="L411" s="31" t="s">
        <v>1415</v>
      </c>
    </row>
    <row r="412" spans="11:12" ht="15" customHeight="1">
      <c r="K412" s="31" t="s">
        <v>1416</v>
      </c>
      <c r="L412" s="31" t="s">
        <v>1417</v>
      </c>
    </row>
    <row r="413" spans="11:12" ht="15" customHeight="1">
      <c r="K413" s="31" t="s">
        <v>1418</v>
      </c>
      <c r="L413" s="31" t="s">
        <v>1419</v>
      </c>
    </row>
    <row r="414" spans="11:12" ht="15" customHeight="1">
      <c r="K414" s="31" t="s">
        <v>1420</v>
      </c>
      <c r="L414" s="31" t="s">
        <v>1421</v>
      </c>
    </row>
    <row r="415" spans="11:12" ht="15" customHeight="1">
      <c r="K415" s="31" t="s">
        <v>1422</v>
      </c>
      <c r="L415" s="31" t="s">
        <v>1423</v>
      </c>
    </row>
    <row r="416" spans="11:12" ht="15" customHeight="1">
      <c r="K416" s="31" t="s">
        <v>1424</v>
      </c>
      <c r="L416" s="31" t="s">
        <v>1425</v>
      </c>
    </row>
    <row r="417" spans="11:12" ht="15" customHeight="1">
      <c r="K417" s="31" t="s">
        <v>1426</v>
      </c>
      <c r="L417" s="31" t="s">
        <v>1427</v>
      </c>
    </row>
    <row r="418" spans="11:12" ht="15" customHeight="1">
      <c r="K418" s="31" t="s">
        <v>1428</v>
      </c>
      <c r="L418" s="31" t="s">
        <v>1429</v>
      </c>
    </row>
    <row r="419" spans="11:12" ht="15" customHeight="1">
      <c r="K419" s="31" t="s">
        <v>1430</v>
      </c>
      <c r="L419" s="31" t="s">
        <v>1431</v>
      </c>
    </row>
    <row r="420" spans="11:12" ht="15" customHeight="1">
      <c r="K420" s="31" t="s">
        <v>1432</v>
      </c>
      <c r="L420" s="31" t="s">
        <v>1433</v>
      </c>
    </row>
    <row r="421" spans="11:12" ht="15" customHeight="1">
      <c r="K421" s="31" t="s">
        <v>1434</v>
      </c>
      <c r="L421" s="31" t="s">
        <v>1435</v>
      </c>
    </row>
    <row r="422" spans="11:12" ht="15" customHeight="1">
      <c r="K422" s="31" t="s">
        <v>1436</v>
      </c>
      <c r="L422" s="31" t="s">
        <v>1437</v>
      </c>
    </row>
    <row r="423" spans="11:12" ht="15" customHeight="1">
      <c r="K423" s="31" t="s">
        <v>1438</v>
      </c>
      <c r="L423" s="31" t="s">
        <v>1439</v>
      </c>
    </row>
    <row r="424" spans="11:12" ht="15" customHeight="1">
      <c r="K424" s="31" t="s">
        <v>1440</v>
      </c>
      <c r="L424" s="31" t="s">
        <v>1441</v>
      </c>
    </row>
    <row r="425" spans="11:12" ht="15" customHeight="1">
      <c r="K425" s="31" t="s">
        <v>1442</v>
      </c>
      <c r="L425" s="31" t="s">
        <v>1443</v>
      </c>
    </row>
    <row r="426" spans="11:12" ht="15" customHeight="1">
      <c r="K426" s="31" t="s">
        <v>1444</v>
      </c>
      <c r="L426" s="31" t="s">
        <v>1445</v>
      </c>
    </row>
    <row r="427" spans="11:12" ht="15" customHeight="1">
      <c r="K427" s="31" t="s">
        <v>1446</v>
      </c>
      <c r="L427" s="31" t="s">
        <v>1447</v>
      </c>
    </row>
    <row r="428" spans="11:12" ht="15" customHeight="1">
      <c r="K428" s="31" t="s">
        <v>1448</v>
      </c>
      <c r="L428" s="31" t="s">
        <v>1449</v>
      </c>
    </row>
    <row r="429" spans="11:12" ht="15" customHeight="1">
      <c r="K429" s="31" t="s">
        <v>1450</v>
      </c>
      <c r="L429" s="31" t="s">
        <v>1451</v>
      </c>
    </row>
    <row r="430" spans="11:12" ht="15" customHeight="1">
      <c r="K430" s="31" t="s">
        <v>1452</v>
      </c>
      <c r="L430" s="31" t="s">
        <v>1453</v>
      </c>
    </row>
    <row r="431" spans="11:12" ht="15" customHeight="1">
      <c r="K431" s="31" t="s">
        <v>1454</v>
      </c>
      <c r="L431" s="31" t="s">
        <v>1455</v>
      </c>
    </row>
    <row r="432" spans="11:12" ht="15" customHeight="1">
      <c r="K432" s="31" t="s">
        <v>1456</v>
      </c>
      <c r="L432" s="31" t="s">
        <v>1457</v>
      </c>
    </row>
    <row r="433" spans="11:12" ht="15" customHeight="1">
      <c r="K433" s="31" t="s">
        <v>1458</v>
      </c>
      <c r="L433" s="31" t="s">
        <v>1459</v>
      </c>
    </row>
    <row r="434" spans="11:12" ht="15" customHeight="1">
      <c r="K434" s="31" t="s">
        <v>1460</v>
      </c>
      <c r="L434" s="31" t="s">
        <v>1461</v>
      </c>
    </row>
    <row r="435" spans="11:12" ht="15" customHeight="1">
      <c r="K435" s="31" t="s">
        <v>1462</v>
      </c>
      <c r="L435" s="31" t="s">
        <v>1463</v>
      </c>
    </row>
    <row r="436" spans="11:12" ht="15" customHeight="1">
      <c r="K436" s="31" t="s">
        <v>1464</v>
      </c>
      <c r="L436" s="31" t="s">
        <v>1465</v>
      </c>
    </row>
    <row r="437" spans="11:12" ht="15" customHeight="1">
      <c r="K437" s="31" t="s">
        <v>1466</v>
      </c>
      <c r="L437" s="31" t="s">
        <v>1467</v>
      </c>
    </row>
    <row r="438" spans="11:12" ht="15" customHeight="1">
      <c r="K438" s="31" t="s">
        <v>1468</v>
      </c>
      <c r="L438" s="31" t="s">
        <v>1469</v>
      </c>
    </row>
    <row r="439" spans="11:12" ht="15" customHeight="1">
      <c r="K439" s="31" t="s">
        <v>1470</v>
      </c>
      <c r="L439" s="31" t="s">
        <v>1471</v>
      </c>
    </row>
    <row r="440" spans="11:12" ht="15" customHeight="1">
      <c r="K440" s="31" t="s">
        <v>1472</v>
      </c>
      <c r="L440" s="31" t="s">
        <v>1473</v>
      </c>
    </row>
    <row r="441" spans="11:12" ht="15" customHeight="1">
      <c r="K441" s="31" t="s">
        <v>1474</v>
      </c>
      <c r="L441" s="31" t="s">
        <v>1475</v>
      </c>
    </row>
    <row r="442" spans="11:12" ht="15" customHeight="1">
      <c r="K442" s="31" t="s">
        <v>1476</v>
      </c>
      <c r="L442" s="31" t="s">
        <v>1477</v>
      </c>
    </row>
    <row r="443" spans="11:12" ht="15" customHeight="1">
      <c r="K443" s="31" t="s">
        <v>1478</v>
      </c>
      <c r="L443" s="31" t="s">
        <v>1479</v>
      </c>
    </row>
    <row r="444" spans="11:12" ht="15" customHeight="1">
      <c r="K444" s="31" t="s">
        <v>1480</v>
      </c>
      <c r="L444" s="31" t="s">
        <v>1481</v>
      </c>
    </row>
    <row r="445" spans="11:12" ht="15" customHeight="1">
      <c r="K445" s="31" t="s">
        <v>1482</v>
      </c>
      <c r="L445" s="31" t="s">
        <v>1483</v>
      </c>
    </row>
    <row r="446" spans="11:12" ht="15" customHeight="1">
      <c r="K446" s="31" t="s">
        <v>1484</v>
      </c>
      <c r="L446" s="31" t="s">
        <v>1485</v>
      </c>
    </row>
    <row r="447" spans="11:12" ht="15" customHeight="1">
      <c r="K447" s="31" t="s">
        <v>1486</v>
      </c>
      <c r="L447" s="31" t="s">
        <v>1487</v>
      </c>
    </row>
    <row r="448" spans="11:12" ht="15" customHeight="1">
      <c r="K448" s="31" t="s">
        <v>1488</v>
      </c>
      <c r="L448" s="31" t="s">
        <v>1489</v>
      </c>
    </row>
    <row r="449" spans="11:12" ht="15" customHeight="1">
      <c r="K449" s="31" t="s">
        <v>1490</v>
      </c>
      <c r="L449" s="31" t="s">
        <v>1491</v>
      </c>
    </row>
    <row r="450" spans="11:12" ht="15" customHeight="1">
      <c r="K450" s="31" t="s">
        <v>1492</v>
      </c>
      <c r="L450" s="31" t="s">
        <v>1493</v>
      </c>
    </row>
    <row r="451" spans="11:12" ht="15" customHeight="1">
      <c r="K451" s="31" t="s">
        <v>1494</v>
      </c>
      <c r="L451" s="31" t="s">
        <v>1495</v>
      </c>
    </row>
    <row r="452" spans="11:12" ht="15" customHeight="1">
      <c r="K452" s="31" t="s">
        <v>1496</v>
      </c>
      <c r="L452" s="31" t="s">
        <v>1497</v>
      </c>
    </row>
    <row r="453" spans="11:12" ht="15" customHeight="1">
      <c r="K453" s="31" t="s">
        <v>1498</v>
      </c>
      <c r="L453" s="31" t="s">
        <v>1499</v>
      </c>
    </row>
    <row r="454" spans="11:12" ht="15" customHeight="1">
      <c r="K454" s="31" t="s">
        <v>1500</v>
      </c>
      <c r="L454" s="31" t="s">
        <v>1501</v>
      </c>
    </row>
    <row r="455" spans="11:12" ht="15" customHeight="1">
      <c r="K455" s="31" t="s">
        <v>1502</v>
      </c>
      <c r="L455" s="31" t="s">
        <v>1503</v>
      </c>
    </row>
    <row r="456" spans="11:12" ht="15" customHeight="1">
      <c r="K456" s="31" t="s">
        <v>1504</v>
      </c>
      <c r="L456" s="31" t="s">
        <v>1505</v>
      </c>
    </row>
    <row r="457" spans="11:12" ht="15" customHeight="1">
      <c r="K457" s="31" t="s">
        <v>1506</v>
      </c>
      <c r="L457" s="31" t="s">
        <v>1507</v>
      </c>
    </row>
    <row r="458" spans="11:12" ht="15" customHeight="1">
      <c r="K458" s="31" t="s">
        <v>1508</v>
      </c>
      <c r="L458" s="31" t="s">
        <v>1509</v>
      </c>
    </row>
    <row r="459" spans="11:12" ht="15" customHeight="1">
      <c r="K459" s="31" t="s">
        <v>1510</v>
      </c>
      <c r="L459" s="31" t="s">
        <v>1511</v>
      </c>
    </row>
    <row r="460" spans="11:12" ht="15" customHeight="1">
      <c r="K460" s="31" t="s">
        <v>1512</v>
      </c>
      <c r="L460" s="31" t="s">
        <v>1513</v>
      </c>
    </row>
    <row r="461" spans="11:12" ht="15" customHeight="1">
      <c r="K461" s="31" t="s">
        <v>1514</v>
      </c>
      <c r="L461" s="31" t="s">
        <v>1515</v>
      </c>
    </row>
    <row r="462" spans="11:12" ht="15" customHeight="1">
      <c r="K462" s="31" t="s">
        <v>1516</v>
      </c>
      <c r="L462" s="31" t="s">
        <v>1517</v>
      </c>
    </row>
    <row r="463" spans="11:12" ht="15" customHeight="1">
      <c r="K463" s="31" t="s">
        <v>1518</v>
      </c>
      <c r="L463" s="31" t="s">
        <v>1519</v>
      </c>
    </row>
    <row r="464" spans="11:12" ht="15" customHeight="1">
      <c r="K464" s="31" t="s">
        <v>1520</v>
      </c>
      <c r="L464" s="31" t="s">
        <v>1521</v>
      </c>
    </row>
    <row r="465" spans="11:12" ht="15" customHeight="1">
      <c r="K465" s="31" t="s">
        <v>1522</v>
      </c>
      <c r="L465" s="31" t="s">
        <v>1523</v>
      </c>
    </row>
    <row r="466" spans="11:12" ht="15" customHeight="1">
      <c r="K466" s="31" t="s">
        <v>1524</v>
      </c>
      <c r="L466" s="31" t="s">
        <v>1525</v>
      </c>
    </row>
    <row r="467" spans="11:12" ht="15" customHeight="1">
      <c r="K467" s="31" t="s">
        <v>1526</v>
      </c>
      <c r="L467" s="31" t="s">
        <v>1527</v>
      </c>
    </row>
    <row r="468" spans="11:12" ht="15" customHeight="1">
      <c r="K468" s="31" t="s">
        <v>1528</v>
      </c>
      <c r="L468" s="31" t="s">
        <v>1529</v>
      </c>
    </row>
    <row r="469" spans="11:12" ht="15" customHeight="1">
      <c r="K469" s="31" t="s">
        <v>1530</v>
      </c>
      <c r="L469" s="31" t="s">
        <v>1531</v>
      </c>
    </row>
    <row r="470" spans="11:12" ht="15" customHeight="1">
      <c r="K470" s="31" t="s">
        <v>1532</v>
      </c>
      <c r="L470" s="31" t="s">
        <v>1533</v>
      </c>
    </row>
    <row r="471" spans="11:12" ht="15" customHeight="1">
      <c r="K471" s="31" t="s">
        <v>1534</v>
      </c>
      <c r="L471" s="31" t="s">
        <v>1535</v>
      </c>
    </row>
    <row r="472" spans="11:12" ht="15" customHeight="1">
      <c r="K472" s="31" t="s">
        <v>1536</v>
      </c>
      <c r="L472" s="31" t="s">
        <v>1537</v>
      </c>
    </row>
    <row r="473" spans="11:12" ht="15" customHeight="1">
      <c r="K473" s="31" t="s">
        <v>1538</v>
      </c>
      <c r="L473" s="31" t="s">
        <v>1539</v>
      </c>
    </row>
    <row r="474" spans="11:12" ht="15" customHeight="1">
      <c r="K474" s="31" t="s">
        <v>1540</v>
      </c>
      <c r="L474" s="31" t="s">
        <v>1541</v>
      </c>
    </row>
    <row r="475" spans="11:12" ht="15" customHeight="1">
      <c r="K475" s="31" t="s">
        <v>1542</v>
      </c>
      <c r="L475" s="31" t="s">
        <v>1543</v>
      </c>
    </row>
    <row r="476" spans="11:12" ht="15" customHeight="1">
      <c r="K476" s="31" t="s">
        <v>1544</v>
      </c>
      <c r="L476" s="31" t="s">
        <v>1545</v>
      </c>
    </row>
    <row r="477" spans="11:12" ht="15" customHeight="1">
      <c r="K477" s="31" t="s">
        <v>1546</v>
      </c>
      <c r="L477" s="31" t="s">
        <v>1547</v>
      </c>
    </row>
    <row r="478" spans="11:12" ht="15" customHeight="1">
      <c r="K478" s="31" t="s">
        <v>1548</v>
      </c>
      <c r="L478" s="31" t="s">
        <v>1549</v>
      </c>
    </row>
    <row r="479" spans="11:12" ht="15" customHeight="1">
      <c r="K479" s="31" t="s">
        <v>1550</v>
      </c>
      <c r="L479" s="31" t="s">
        <v>1551</v>
      </c>
    </row>
    <row r="480" spans="11:12" ht="15" customHeight="1">
      <c r="K480" s="31" t="s">
        <v>1552</v>
      </c>
      <c r="L480" s="31" t="s">
        <v>1553</v>
      </c>
    </row>
    <row r="481" spans="11:12" ht="15" customHeight="1">
      <c r="K481" s="31" t="s">
        <v>1554</v>
      </c>
      <c r="L481" s="31" t="s">
        <v>1555</v>
      </c>
    </row>
    <row r="482" spans="11:12" ht="15" customHeight="1">
      <c r="K482" s="31" t="s">
        <v>1556</v>
      </c>
      <c r="L482" s="31" t="s">
        <v>1557</v>
      </c>
    </row>
    <row r="483" spans="11:12" ht="15" customHeight="1">
      <c r="K483" s="31" t="s">
        <v>1558</v>
      </c>
      <c r="L483" s="31" t="s">
        <v>1559</v>
      </c>
    </row>
    <row r="484" spans="11:12" ht="15" customHeight="1">
      <c r="K484" s="31" t="s">
        <v>1560</v>
      </c>
      <c r="L484" s="31" t="s">
        <v>1561</v>
      </c>
    </row>
    <row r="485" spans="11:12" ht="15" customHeight="1">
      <c r="K485" s="31" t="s">
        <v>1562</v>
      </c>
      <c r="L485" s="31" t="s">
        <v>1563</v>
      </c>
    </row>
    <row r="486" spans="11:12" ht="15" customHeight="1">
      <c r="K486" s="31" t="s">
        <v>1564</v>
      </c>
      <c r="L486" s="31" t="s">
        <v>1565</v>
      </c>
    </row>
    <row r="487" spans="11:12" ht="15" customHeight="1">
      <c r="K487" s="31" t="s">
        <v>1566</v>
      </c>
      <c r="L487" s="31" t="s">
        <v>1567</v>
      </c>
    </row>
    <row r="488" spans="11:12" ht="15" customHeight="1">
      <c r="K488" s="31" t="s">
        <v>1568</v>
      </c>
      <c r="L488" s="31" t="s">
        <v>1569</v>
      </c>
    </row>
    <row r="489" spans="11:12" ht="15" customHeight="1">
      <c r="K489" s="31" t="s">
        <v>1570</v>
      </c>
      <c r="L489" s="31" t="s">
        <v>1571</v>
      </c>
    </row>
    <row r="490" spans="11:12" ht="15" customHeight="1">
      <c r="K490" s="31" t="s">
        <v>1572</v>
      </c>
      <c r="L490" s="31" t="s">
        <v>1573</v>
      </c>
    </row>
    <row r="491" spans="11:12" ht="15" customHeight="1">
      <c r="K491" s="31" t="s">
        <v>1574</v>
      </c>
      <c r="L491" s="31" t="s">
        <v>1575</v>
      </c>
    </row>
    <row r="492" spans="11:12" ht="15" customHeight="1">
      <c r="K492" s="31" t="s">
        <v>1576</v>
      </c>
      <c r="L492" s="31" t="s">
        <v>1577</v>
      </c>
    </row>
    <row r="493" spans="11:12" ht="15" customHeight="1">
      <c r="K493" s="31" t="s">
        <v>1578</v>
      </c>
      <c r="L493" s="31" t="s">
        <v>1579</v>
      </c>
    </row>
    <row r="494" spans="11:12" ht="15" customHeight="1">
      <c r="K494" s="31" t="s">
        <v>1580</v>
      </c>
      <c r="L494" s="31" t="s">
        <v>1581</v>
      </c>
    </row>
    <row r="495" spans="11:12" ht="15" customHeight="1">
      <c r="K495" s="31" t="s">
        <v>1582</v>
      </c>
      <c r="L495" s="31" t="s">
        <v>1583</v>
      </c>
    </row>
    <row r="496" spans="11:12" ht="15" customHeight="1">
      <c r="K496" s="31" t="s">
        <v>1584</v>
      </c>
      <c r="L496" s="31" t="s">
        <v>1585</v>
      </c>
    </row>
    <row r="497" spans="11:12" ht="15" customHeight="1">
      <c r="K497" s="31" t="s">
        <v>1586</v>
      </c>
      <c r="L497" s="31" t="s">
        <v>1587</v>
      </c>
    </row>
    <row r="498" spans="11:12" ht="15" customHeight="1">
      <c r="K498" s="31" t="s">
        <v>1588</v>
      </c>
      <c r="L498" s="31" t="s">
        <v>1589</v>
      </c>
    </row>
    <row r="499" spans="11:12" ht="15" customHeight="1">
      <c r="K499" s="31" t="s">
        <v>1590</v>
      </c>
      <c r="L499" s="31" t="s">
        <v>1591</v>
      </c>
    </row>
    <row r="500" spans="11:12" ht="15" customHeight="1">
      <c r="K500" s="31" t="s">
        <v>1592</v>
      </c>
      <c r="L500" s="31" t="s">
        <v>1593</v>
      </c>
    </row>
    <row r="501" spans="11:12" ht="15" customHeight="1">
      <c r="K501" s="31" t="s">
        <v>1594</v>
      </c>
      <c r="L501" s="31" t="s">
        <v>1595</v>
      </c>
    </row>
    <row r="502" spans="11:12" ht="15" customHeight="1">
      <c r="K502" s="31" t="s">
        <v>1596</v>
      </c>
      <c r="L502" s="31" t="s">
        <v>1597</v>
      </c>
    </row>
    <row r="503" spans="11:12" ht="15" customHeight="1">
      <c r="K503" s="31" t="s">
        <v>1598</v>
      </c>
      <c r="L503" s="31" t="s">
        <v>1599</v>
      </c>
    </row>
    <row r="504" spans="11:12" ht="15" customHeight="1">
      <c r="K504" s="31" t="s">
        <v>1600</v>
      </c>
      <c r="L504" s="31" t="s">
        <v>1601</v>
      </c>
    </row>
    <row r="505" spans="11:12" ht="15" customHeight="1">
      <c r="K505" s="31" t="s">
        <v>1602</v>
      </c>
      <c r="L505" s="31" t="s">
        <v>1603</v>
      </c>
    </row>
    <row r="506" spans="11:12" ht="15" customHeight="1">
      <c r="K506" s="31" t="s">
        <v>1604</v>
      </c>
      <c r="L506" s="31" t="s">
        <v>1605</v>
      </c>
    </row>
    <row r="507" spans="11:12" ht="15" customHeight="1">
      <c r="K507" s="31" t="s">
        <v>1606</v>
      </c>
      <c r="L507" s="31" t="s">
        <v>1607</v>
      </c>
    </row>
    <row r="508" spans="11:12" ht="15" customHeight="1">
      <c r="K508" s="31" t="s">
        <v>1608</v>
      </c>
      <c r="L508" s="31" t="s">
        <v>1609</v>
      </c>
    </row>
    <row r="509" spans="11:12" ht="15" customHeight="1">
      <c r="K509" s="31" t="s">
        <v>1610</v>
      </c>
      <c r="L509" s="31" t="s">
        <v>1611</v>
      </c>
    </row>
    <row r="510" spans="11:12" ht="15" customHeight="1">
      <c r="K510" s="31" t="s">
        <v>1612</v>
      </c>
      <c r="L510" s="31" t="s">
        <v>1613</v>
      </c>
    </row>
    <row r="511" spans="11:12" ht="15" customHeight="1">
      <c r="K511" s="31" t="s">
        <v>1614</v>
      </c>
      <c r="L511" s="31" t="s">
        <v>1615</v>
      </c>
    </row>
    <row r="512" spans="11:12" ht="15" customHeight="1">
      <c r="K512" s="31" t="s">
        <v>1616</v>
      </c>
      <c r="L512" s="31" t="s">
        <v>1617</v>
      </c>
    </row>
    <row r="513" spans="11:12" ht="15" customHeight="1">
      <c r="K513" s="31" t="s">
        <v>1618</v>
      </c>
      <c r="L513" s="31" t="s">
        <v>1619</v>
      </c>
    </row>
    <row r="514" spans="11:12" ht="15" customHeight="1">
      <c r="K514" s="31" t="s">
        <v>1620</v>
      </c>
      <c r="L514" s="31" t="s">
        <v>1621</v>
      </c>
    </row>
    <row r="515" spans="11:12" ht="15" customHeight="1">
      <c r="K515" s="31" t="s">
        <v>1622</v>
      </c>
      <c r="L515" s="31" t="s">
        <v>1623</v>
      </c>
    </row>
    <row r="516" spans="11:12" ht="15" customHeight="1">
      <c r="K516" s="31" t="s">
        <v>1624</v>
      </c>
      <c r="L516" s="31" t="s">
        <v>1625</v>
      </c>
    </row>
    <row r="517" spans="11:12" ht="15" customHeight="1">
      <c r="K517" s="31" t="s">
        <v>1626</v>
      </c>
      <c r="L517" s="31" t="s">
        <v>1627</v>
      </c>
    </row>
    <row r="518" spans="11:12" ht="15" customHeight="1">
      <c r="K518" s="31" t="s">
        <v>1628</v>
      </c>
      <c r="L518" s="31" t="s">
        <v>1629</v>
      </c>
    </row>
    <row r="519" spans="11:12" ht="15" customHeight="1">
      <c r="K519" s="31" t="s">
        <v>1630</v>
      </c>
      <c r="L519" s="31" t="s">
        <v>1631</v>
      </c>
    </row>
    <row r="520" spans="11:12" ht="15" customHeight="1">
      <c r="K520" s="31" t="s">
        <v>1632</v>
      </c>
      <c r="L520" s="31" t="s">
        <v>1633</v>
      </c>
    </row>
    <row r="521" spans="11:12" ht="15" customHeight="1">
      <c r="K521" s="31" t="s">
        <v>1634</v>
      </c>
      <c r="L521" s="31" t="s">
        <v>1635</v>
      </c>
    </row>
    <row r="522" spans="11:12" ht="15" customHeight="1">
      <c r="K522" s="31" t="s">
        <v>1636</v>
      </c>
      <c r="L522" s="31" t="s">
        <v>1637</v>
      </c>
    </row>
    <row r="523" spans="11:12" ht="15" customHeight="1">
      <c r="K523" s="31" t="s">
        <v>1638</v>
      </c>
      <c r="L523" s="31" t="s">
        <v>1639</v>
      </c>
    </row>
    <row r="524" spans="11:12" ht="15" customHeight="1">
      <c r="K524" s="31" t="s">
        <v>1640</v>
      </c>
      <c r="L524" s="31" t="s">
        <v>1641</v>
      </c>
    </row>
    <row r="525" spans="11:12" ht="15" customHeight="1">
      <c r="K525" s="31" t="s">
        <v>1642</v>
      </c>
      <c r="L525" s="31" t="s">
        <v>1643</v>
      </c>
    </row>
    <row r="526" spans="11:12" ht="15" customHeight="1">
      <c r="K526" s="31" t="s">
        <v>1644</v>
      </c>
      <c r="L526" s="31" t="s">
        <v>1645</v>
      </c>
    </row>
    <row r="527" spans="11:12" ht="15" customHeight="1">
      <c r="K527" s="31" t="s">
        <v>1646</v>
      </c>
      <c r="L527" s="31" t="s">
        <v>1647</v>
      </c>
    </row>
    <row r="528" spans="11:12" ht="15" customHeight="1">
      <c r="K528" s="31" t="s">
        <v>1648</v>
      </c>
      <c r="L528" s="31" t="s">
        <v>1649</v>
      </c>
    </row>
    <row r="529" spans="11:12" ht="15" customHeight="1">
      <c r="K529" s="31" t="s">
        <v>1650</v>
      </c>
      <c r="L529" s="31" t="s">
        <v>1651</v>
      </c>
    </row>
    <row r="530" spans="11:12" ht="15" customHeight="1">
      <c r="K530" s="31" t="s">
        <v>1652</v>
      </c>
      <c r="L530" s="31" t="s">
        <v>1653</v>
      </c>
    </row>
    <row r="531" spans="11:12" ht="15" customHeight="1">
      <c r="K531" s="31" t="s">
        <v>1654</v>
      </c>
      <c r="L531" s="31" t="s">
        <v>1655</v>
      </c>
    </row>
    <row r="532" spans="11:12" ht="15" customHeight="1">
      <c r="K532" s="31" t="s">
        <v>1656</v>
      </c>
      <c r="L532" s="31" t="s">
        <v>1657</v>
      </c>
    </row>
    <row r="533" spans="11:12" ht="15" customHeight="1">
      <c r="K533" s="31" t="s">
        <v>1658</v>
      </c>
      <c r="L533" s="31" t="s">
        <v>1659</v>
      </c>
    </row>
    <row r="534" spans="11:12" ht="15" customHeight="1">
      <c r="K534" s="31" t="s">
        <v>1660</v>
      </c>
      <c r="L534" s="31" t="s">
        <v>1661</v>
      </c>
    </row>
    <row r="535" spans="11:12" ht="15" customHeight="1">
      <c r="K535" s="31" t="s">
        <v>1662</v>
      </c>
      <c r="L535" s="31" t="s">
        <v>1663</v>
      </c>
    </row>
    <row r="536" spans="11:12" ht="15" customHeight="1">
      <c r="K536" s="31" t="s">
        <v>1664</v>
      </c>
      <c r="L536" s="31" t="s">
        <v>1665</v>
      </c>
    </row>
    <row r="537" spans="11:12" ht="15" customHeight="1">
      <c r="K537" s="31" t="s">
        <v>1666</v>
      </c>
      <c r="L537" s="31" t="s">
        <v>1667</v>
      </c>
    </row>
    <row r="538" spans="11:12" ht="15" customHeight="1">
      <c r="K538" s="31" t="s">
        <v>1668</v>
      </c>
      <c r="L538" s="31" t="s">
        <v>1669</v>
      </c>
    </row>
    <row r="539" spans="11:12" ht="15" customHeight="1">
      <c r="K539" s="31" t="s">
        <v>1670</v>
      </c>
      <c r="L539" s="31" t="s">
        <v>1671</v>
      </c>
    </row>
    <row r="540" spans="11:12" ht="15" customHeight="1">
      <c r="K540" s="31" t="s">
        <v>1672</v>
      </c>
      <c r="L540" s="31" t="s">
        <v>1673</v>
      </c>
    </row>
    <row r="541" spans="11:12" ht="15" customHeight="1">
      <c r="K541" s="31" t="s">
        <v>1674</v>
      </c>
      <c r="L541" s="31" t="s">
        <v>1675</v>
      </c>
    </row>
    <row r="542" spans="11:12" ht="15" customHeight="1">
      <c r="K542" s="31" t="s">
        <v>1676</v>
      </c>
      <c r="L542" s="31" t="s">
        <v>1677</v>
      </c>
    </row>
    <row r="543" spans="11:12" ht="15" customHeight="1">
      <c r="K543" s="31" t="s">
        <v>1678</v>
      </c>
      <c r="L543" s="31" t="s">
        <v>1679</v>
      </c>
    </row>
    <row r="544" spans="11:12" ht="15" customHeight="1">
      <c r="K544" s="31" t="s">
        <v>1680</v>
      </c>
      <c r="L544" s="31" t="s">
        <v>1681</v>
      </c>
    </row>
    <row r="545" spans="11:12" ht="15" customHeight="1">
      <c r="K545" s="31" t="s">
        <v>1682</v>
      </c>
      <c r="L545" s="31" t="s">
        <v>1683</v>
      </c>
    </row>
    <row r="546" spans="11:12" ht="15" customHeight="1">
      <c r="K546" s="31" t="s">
        <v>1684</v>
      </c>
      <c r="L546" s="31" t="s">
        <v>1685</v>
      </c>
    </row>
    <row r="547" spans="11:12" ht="15" customHeight="1">
      <c r="K547" s="31" t="s">
        <v>1686</v>
      </c>
      <c r="L547" s="31" t="s">
        <v>1687</v>
      </c>
    </row>
    <row r="548" spans="11:12" ht="15" customHeight="1">
      <c r="K548" s="31" t="s">
        <v>1688</v>
      </c>
      <c r="L548" s="31" t="s">
        <v>1689</v>
      </c>
    </row>
    <row r="549" spans="11:12" ht="15" customHeight="1">
      <c r="K549" s="31" t="s">
        <v>1690</v>
      </c>
      <c r="L549" s="31" t="s">
        <v>1691</v>
      </c>
    </row>
    <row r="550" spans="11:12" ht="15" customHeight="1">
      <c r="K550" s="31" t="s">
        <v>1692</v>
      </c>
      <c r="L550" s="31" t="s">
        <v>1693</v>
      </c>
    </row>
    <row r="551" spans="11:12" ht="15" customHeight="1">
      <c r="K551" s="31" t="s">
        <v>1694</v>
      </c>
      <c r="L551" s="31" t="s">
        <v>1695</v>
      </c>
    </row>
    <row r="552" spans="11:12" ht="15" customHeight="1">
      <c r="K552" s="31" t="s">
        <v>1696</v>
      </c>
      <c r="L552" s="31" t="s">
        <v>1697</v>
      </c>
    </row>
    <row r="553" spans="11:12" ht="15" customHeight="1">
      <c r="K553" s="31" t="s">
        <v>1698</v>
      </c>
      <c r="L553" s="31" t="s">
        <v>1699</v>
      </c>
    </row>
    <row r="554" spans="11:12" ht="15" customHeight="1">
      <c r="K554" s="31" t="s">
        <v>1700</v>
      </c>
      <c r="L554" s="31" t="s">
        <v>1701</v>
      </c>
    </row>
    <row r="555" spans="11:12" ht="15" customHeight="1">
      <c r="K555" s="31" t="s">
        <v>1702</v>
      </c>
      <c r="L555" s="31" t="s">
        <v>1703</v>
      </c>
    </row>
    <row r="556" spans="11:12" ht="15" customHeight="1">
      <c r="K556" s="31" t="s">
        <v>1704</v>
      </c>
      <c r="L556" s="31" t="s">
        <v>1705</v>
      </c>
    </row>
    <row r="557" spans="11:12" ht="15" customHeight="1">
      <c r="K557" s="31" t="s">
        <v>1706</v>
      </c>
      <c r="L557" s="31" t="s">
        <v>1707</v>
      </c>
    </row>
    <row r="558" spans="11:12" ht="15" customHeight="1">
      <c r="K558" s="31" t="s">
        <v>1708</v>
      </c>
      <c r="L558" s="31" t="s">
        <v>1709</v>
      </c>
    </row>
    <row r="559" spans="11:12" ht="15" customHeight="1">
      <c r="K559" s="31" t="s">
        <v>1710</v>
      </c>
      <c r="L559" s="31" t="s">
        <v>1711</v>
      </c>
    </row>
    <row r="560" spans="11:12" ht="15" customHeight="1">
      <c r="K560" s="31" t="s">
        <v>1712</v>
      </c>
      <c r="L560" s="31" t="s">
        <v>1713</v>
      </c>
    </row>
    <row r="561" spans="11:12" ht="15" customHeight="1">
      <c r="K561" s="31" t="s">
        <v>1714</v>
      </c>
      <c r="L561" s="31" t="s">
        <v>1715</v>
      </c>
    </row>
    <row r="562" spans="11:12" ht="15" customHeight="1">
      <c r="K562" s="31" t="s">
        <v>1716</v>
      </c>
      <c r="L562" s="31" t="s">
        <v>1717</v>
      </c>
    </row>
    <row r="563" spans="11:12" ht="15" customHeight="1">
      <c r="K563" s="31" t="s">
        <v>1718</v>
      </c>
      <c r="L563" s="31" t="s">
        <v>1719</v>
      </c>
    </row>
    <row r="564" spans="11:12" ht="15" customHeight="1">
      <c r="K564" s="31" t="s">
        <v>1720</v>
      </c>
      <c r="L564" s="31" t="s">
        <v>1721</v>
      </c>
    </row>
    <row r="565" spans="11:12" ht="15" customHeight="1">
      <c r="K565" s="31" t="s">
        <v>1722</v>
      </c>
      <c r="L565" s="31" t="s">
        <v>1723</v>
      </c>
    </row>
    <row r="566" spans="11:12" ht="15" customHeight="1">
      <c r="K566" s="31" t="s">
        <v>1724</v>
      </c>
      <c r="L566" s="31" t="s">
        <v>1725</v>
      </c>
    </row>
    <row r="567" spans="11:12" ht="15" customHeight="1">
      <c r="K567" s="31" t="s">
        <v>1726</v>
      </c>
      <c r="L567" s="31" t="s">
        <v>1727</v>
      </c>
    </row>
    <row r="568" spans="11:12" ht="15" customHeight="1">
      <c r="K568" s="31" t="s">
        <v>1728</v>
      </c>
      <c r="L568" s="31" t="s">
        <v>1729</v>
      </c>
    </row>
    <row r="569" spans="11:12" ht="15" customHeight="1">
      <c r="K569" s="31" t="s">
        <v>1730</v>
      </c>
      <c r="L569" s="31" t="s">
        <v>1731</v>
      </c>
    </row>
    <row r="570" spans="11:12" ht="15" customHeight="1">
      <c r="K570" s="31" t="s">
        <v>1732</v>
      </c>
      <c r="L570" s="31" t="s">
        <v>1733</v>
      </c>
    </row>
    <row r="571" spans="11:12" ht="15" customHeight="1">
      <c r="K571" s="31" t="s">
        <v>1734</v>
      </c>
      <c r="L571" s="31" t="s">
        <v>1735</v>
      </c>
    </row>
    <row r="572" spans="11:12" ht="15" customHeight="1">
      <c r="K572" s="31" t="s">
        <v>1736</v>
      </c>
      <c r="L572" s="31" t="s">
        <v>1737</v>
      </c>
    </row>
    <row r="573" spans="11:12" ht="15" customHeight="1">
      <c r="K573" s="31" t="s">
        <v>1738</v>
      </c>
      <c r="L573" s="31" t="s">
        <v>1739</v>
      </c>
    </row>
    <row r="574" spans="11:12" ht="15" customHeight="1">
      <c r="K574" s="31" t="s">
        <v>1740</v>
      </c>
      <c r="L574" s="31" t="s">
        <v>1741</v>
      </c>
    </row>
    <row r="575" spans="11:12" ht="15" customHeight="1">
      <c r="K575" s="31" t="s">
        <v>1742</v>
      </c>
      <c r="L575" s="31" t="s">
        <v>1743</v>
      </c>
    </row>
    <row r="576" spans="11:12" ht="15" customHeight="1">
      <c r="K576" s="31" t="s">
        <v>1744</v>
      </c>
      <c r="L576" s="31" t="s">
        <v>1745</v>
      </c>
    </row>
    <row r="577" spans="11:12" ht="15" customHeight="1">
      <c r="K577" s="31" t="s">
        <v>1746</v>
      </c>
      <c r="L577" s="31" t="s">
        <v>1747</v>
      </c>
    </row>
    <row r="578" spans="11:12" ht="15" customHeight="1">
      <c r="K578" s="31" t="s">
        <v>1748</v>
      </c>
      <c r="L578" s="31" t="s">
        <v>1749</v>
      </c>
    </row>
    <row r="579" spans="11:12" ht="15" customHeight="1">
      <c r="K579" s="31" t="s">
        <v>1750</v>
      </c>
      <c r="L579" s="31" t="s">
        <v>1751</v>
      </c>
    </row>
    <row r="580" spans="11:12" ht="15" customHeight="1">
      <c r="K580" s="31" t="s">
        <v>1752</v>
      </c>
      <c r="L580" s="31" t="s">
        <v>1753</v>
      </c>
    </row>
    <row r="581" spans="11:12" ht="15" customHeight="1">
      <c r="K581" s="31" t="s">
        <v>1754</v>
      </c>
      <c r="L581" s="31" t="s">
        <v>1755</v>
      </c>
    </row>
    <row r="582" spans="11:12" ht="15" customHeight="1">
      <c r="K582" s="31" t="s">
        <v>1756</v>
      </c>
      <c r="L582" s="31" t="s">
        <v>1757</v>
      </c>
    </row>
    <row r="583" spans="11:12" ht="15" customHeight="1">
      <c r="K583" s="31" t="s">
        <v>1758</v>
      </c>
      <c r="L583" s="31" t="s">
        <v>1759</v>
      </c>
    </row>
    <row r="584" spans="11:12" ht="15" customHeight="1">
      <c r="K584" s="31" t="s">
        <v>1760</v>
      </c>
      <c r="L584" s="31" t="s">
        <v>1761</v>
      </c>
    </row>
    <row r="585" spans="11:12" ht="15" customHeight="1">
      <c r="K585" s="31" t="s">
        <v>1762</v>
      </c>
      <c r="L585" s="31" t="s">
        <v>1763</v>
      </c>
    </row>
    <row r="586" spans="11:12" ht="15" customHeight="1">
      <c r="K586" s="31" t="s">
        <v>1764</v>
      </c>
      <c r="L586" s="31" t="s">
        <v>1765</v>
      </c>
    </row>
    <row r="587" spans="11:12" ht="15" customHeight="1">
      <c r="K587" s="31" t="s">
        <v>1766</v>
      </c>
      <c r="L587" s="31" t="s">
        <v>1767</v>
      </c>
    </row>
    <row r="588" spans="11:12" ht="15" customHeight="1">
      <c r="K588" s="31" t="s">
        <v>1768</v>
      </c>
      <c r="L588" s="31" t="s">
        <v>1769</v>
      </c>
    </row>
    <row r="589" spans="11:12" ht="15" customHeight="1">
      <c r="K589" s="31" t="s">
        <v>1770</v>
      </c>
      <c r="L589" s="31" t="s">
        <v>1771</v>
      </c>
    </row>
    <row r="590" spans="11:12" ht="15" customHeight="1">
      <c r="K590" s="31" t="s">
        <v>1772</v>
      </c>
      <c r="L590" s="31" t="s">
        <v>1773</v>
      </c>
    </row>
    <row r="591" spans="11:12" ht="15" customHeight="1">
      <c r="K591" s="31" t="s">
        <v>1774</v>
      </c>
      <c r="L591" s="31" t="s">
        <v>1775</v>
      </c>
    </row>
    <row r="592" spans="11:12" ht="15" customHeight="1">
      <c r="K592" s="31" t="s">
        <v>1776</v>
      </c>
      <c r="L592" s="31" t="s">
        <v>1777</v>
      </c>
    </row>
    <row r="593" spans="11:12" ht="15" customHeight="1">
      <c r="K593" s="31" t="s">
        <v>1778</v>
      </c>
      <c r="L593" s="31" t="s">
        <v>1779</v>
      </c>
    </row>
    <row r="594" spans="11:12" ht="15" customHeight="1">
      <c r="K594" s="31" t="s">
        <v>1780</v>
      </c>
      <c r="L594" s="31" t="s">
        <v>1781</v>
      </c>
    </row>
    <row r="595" spans="11:12" ht="15" customHeight="1">
      <c r="K595" s="31" t="s">
        <v>1782</v>
      </c>
      <c r="L595" s="31" t="s">
        <v>1783</v>
      </c>
    </row>
    <row r="596" spans="11:12" ht="15" customHeight="1">
      <c r="K596" s="31" t="s">
        <v>1784</v>
      </c>
      <c r="L596" s="31" t="s">
        <v>1785</v>
      </c>
    </row>
    <row r="597" spans="11:12" ht="15" customHeight="1">
      <c r="K597" s="31" t="s">
        <v>1786</v>
      </c>
      <c r="L597" s="31" t="s">
        <v>1787</v>
      </c>
    </row>
    <row r="598" spans="11:12" ht="15" customHeight="1">
      <c r="K598" s="31" t="s">
        <v>1788</v>
      </c>
      <c r="L598" s="31" t="s">
        <v>1789</v>
      </c>
    </row>
    <row r="599" spans="11:12" ht="15" customHeight="1">
      <c r="K599" s="31" t="s">
        <v>1790</v>
      </c>
      <c r="L599" s="31" t="s">
        <v>1791</v>
      </c>
    </row>
    <row r="600" spans="11:12" ht="15" customHeight="1">
      <c r="K600" s="31" t="s">
        <v>1792</v>
      </c>
      <c r="L600" s="31" t="s">
        <v>1793</v>
      </c>
    </row>
    <row r="601" spans="11:12" ht="15" customHeight="1">
      <c r="K601" s="31" t="s">
        <v>1794</v>
      </c>
      <c r="L601" s="31" t="s">
        <v>1795</v>
      </c>
    </row>
    <row r="602" spans="11:12" ht="15" customHeight="1">
      <c r="K602" s="31" t="s">
        <v>1796</v>
      </c>
      <c r="L602" s="31" t="s">
        <v>1797</v>
      </c>
    </row>
    <row r="603" spans="11:12" ht="15" customHeight="1">
      <c r="K603" s="31" t="s">
        <v>1798</v>
      </c>
      <c r="L603" s="31" t="s">
        <v>1799</v>
      </c>
    </row>
    <row r="604" spans="11:12" ht="15" customHeight="1">
      <c r="K604" s="31" t="s">
        <v>1800</v>
      </c>
      <c r="L604" s="31" t="s">
        <v>1801</v>
      </c>
    </row>
    <row r="605" spans="11:12" ht="15" customHeight="1">
      <c r="K605" s="31" t="s">
        <v>1802</v>
      </c>
      <c r="L605" s="31" t="s">
        <v>1803</v>
      </c>
    </row>
    <row r="606" spans="11:12" ht="15" customHeight="1">
      <c r="K606" s="31" t="s">
        <v>1804</v>
      </c>
      <c r="L606" s="31" t="s">
        <v>1805</v>
      </c>
    </row>
    <row r="607" spans="11:12" ht="15" customHeight="1">
      <c r="K607" s="31" t="s">
        <v>1806</v>
      </c>
      <c r="L607" s="31" t="s">
        <v>1807</v>
      </c>
    </row>
    <row r="608" spans="11:12" ht="15" customHeight="1">
      <c r="K608" s="31" t="s">
        <v>1808</v>
      </c>
      <c r="L608" s="31" t="s">
        <v>1809</v>
      </c>
    </row>
    <row r="609" spans="11:12" ht="15" customHeight="1">
      <c r="K609" s="31" t="s">
        <v>1810</v>
      </c>
      <c r="L609" s="31" t="s">
        <v>1811</v>
      </c>
    </row>
    <row r="610" spans="11:12" ht="15" customHeight="1">
      <c r="K610" s="31" t="s">
        <v>1812</v>
      </c>
      <c r="L610" s="31" t="s">
        <v>1813</v>
      </c>
    </row>
    <row r="611" spans="11:12" ht="15" customHeight="1">
      <c r="K611" s="31" t="s">
        <v>1814</v>
      </c>
      <c r="L611" s="31" t="s">
        <v>1815</v>
      </c>
    </row>
    <row r="612" spans="11:12" ht="15" customHeight="1">
      <c r="K612" s="31" t="s">
        <v>1816</v>
      </c>
      <c r="L612" s="31" t="s">
        <v>1817</v>
      </c>
    </row>
    <row r="613" spans="11:12" ht="15" customHeight="1">
      <c r="K613" s="31" t="s">
        <v>1818</v>
      </c>
      <c r="L613" s="31" t="s">
        <v>1819</v>
      </c>
    </row>
    <row r="614" spans="11:12" ht="15" customHeight="1">
      <c r="K614" s="31" t="s">
        <v>1820</v>
      </c>
      <c r="L614" s="31" t="s">
        <v>1821</v>
      </c>
    </row>
    <row r="615" spans="11:12" ht="15" customHeight="1">
      <c r="K615" s="31" t="s">
        <v>1822</v>
      </c>
      <c r="L615" s="31" t="s">
        <v>1823</v>
      </c>
    </row>
    <row r="616" spans="11:12" ht="15" customHeight="1">
      <c r="K616" s="31" t="s">
        <v>1824</v>
      </c>
      <c r="L616" s="31" t="s">
        <v>1825</v>
      </c>
    </row>
    <row r="617" spans="11:12" ht="15" customHeight="1">
      <c r="K617" s="31" t="s">
        <v>1826</v>
      </c>
      <c r="L617" s="31" t="s">
        <v>1827</v>
      </c>
    </row>
    <row r="618" spans="11:12" ht="15" customHeight="1">
      <c r="K618" s="31" t="s">
        <v>1828</v>
      </c>
      <c r="L618" s="31" t="s">
        <v>1829</v>
      </c>
    </row>
    <row r="619" spans="11:12" ht="15" customHeight="1">
      <c r="K619" s="31" t="s">
        <v>1830</v>
      </c>
      <c r="L619" s="31" t="s">
        <v>1831</v>
      </c>
    </row>
    <row r="620" spans="11:12" ht="15" customHeight="1">
      <c r="K620" s="31" t="s">
        <v>1832</v>
      </c>
      <c r="L620" s="31" t="s">
        <v>1833</v>
      </c>
    </row>
    <row r="621" spans="11:12" ht="15" customHeight="1">
      <c r="K621" s="31" t="s">
        <v>1834</v>
      </c>
      <c r="L621" s="31" t="s">
        <v>1835</v>
      </c>
    </row>
    <row r="622" spans="11:12" ht="15" customHeight="1">
      <c r="K622" s="31" t="s">
        <v>1836</v>
      </c>
      <c r="L622" s="31" t="s">
        <v>1837</v>
      </c>
    </row>
    <row r="623" spans="11:12" ht="15" customHeight="1">
      <c r="K623" s="31" t="s">
        <v>1838</v>
      </c>
      <c r="L623" s="31" t="s">
        <v>1839</v>
      </c>
    </row>
    <row r="624" spans="11:12" ht="15" customHeight="1">
      <c r="K624" s="31" t="s">
        <v>1840</v>
      </c>
      <c r="L624" s="31" t="s">
        <v>1841</v>
      </c>
    </row>
    <row r="625" spans="11:12" ht="15" customHeight="1">
      <c r="K625" s="31" t="s">
        <v>1842</v>
      </c>
      <c r="L625" s="31" t="s">
        <v>1843</v>
      </c>
    </row>
    <row r="626" spans="11:12" ht="15" customHeight="1">
      <c r="K626" s="31" t="s">
        <v>1844</v>
      </c>
      <c r="L626" s="31" t="s">
        <v>1845</v>
      </c>
    </row>
    <row r="627" spans="11:12" ht="15" customHeight="1">
      <c r="K627" s="31" t="s">
        <v>1846</v>
      </c>
      <c r="L627" s="31" t="s">
        <v>1847</v>
      </c>
    </row>
    <row r="628" spans="11:12" ht="15" customHeight="1">
      <c r="K628" s="31" t="s">
        <v>1848</v>
      </c>
      <c r="L628" s="31" t="s">
        <v>1849</v>
      </c>
    </row>
    <row r="629" spans="11:12" ht="15" customHeight="1">
      <c r="K629" s="31" t="s">
        <v>1850</v>
      </c>
      <c r="L629" s="31" t="s">
        <v>1851</v>
      </c>
    </row>
    <row r="630" spans="11:12" ht="15" customHeight="1">
      <c r="K630" s="31" t="s">
        <v>1852</v>
      </c>
      <c r="L630" s="31" t="s">
        <v>1853</v>
      </c>
    </row>
    <row r="631" spans="11:12" ht="15" customHeight="1">
      <c r="K631" s="31" t="s">
        <v>1854</v>
      </c>
      <c r="L631" s="31" t="s">
        <v>1855</v>
      </c>
    </row>
    <row r="632" spans="11:12" ht="15" customHeight="1">
      <c r="K632" s="31" t="s">
        <v>1856</v>
      </c>
      <c r="L632" s="31" t="s">
        <v>1857</v>
      </c>
    </row>
    <row r="633" spans="11:12" ht="15" customHeight="1">
      <c r="K633" s="31" t="s">
        <v>1858</v>
      </c>
      <c r="L633" s="31" t="s">
        <v>1859</v>
      </c>
    </row>
    <row r="634" spans="11:12" ht="15" customHeight="1">
      <c r="K634" s="31" t="s">
        <v>1860</v>
      </c>
      <c r="L634" s="31" t="s">
        <v>1861</v>
      </c>
    </row>
    <row r="635" spans="11:12" ht="15" customHeight="1">
      <c r="K635" s="31" t="s">
        <v>1862</v>
      </c>
      <c r="L635" s="31" t="s">
        <v>1863</v>
      </c>
    </row>
    <row r="636" spans="11:12" ht="15" customHeight="1">
      <c r="K636" s="31" t="s">
        <v>1864</v>
      </c>
      <c r="L636" s="31" t="s">
        <v>1865</v>
      </c>
    </row>
    <row r="637" spans="11:12" ht="15" customHeight="1">
      <c r="K637" s="31" t="s">
        <v>1866</v>
      </c>
      <c r="L637" s="31" t="s">
        <v>1867</v>
      </c>
    </row>
    <row r="638" spans="11:12" ht="15" customHeight="1">
      <c r="K638" s="31" t="s">
        <v>1868</v>
      </c>
      <c r="L638" s="31" t="s">
        <v>1869</v>
      </c>
    </row>
    <row r="639" spans="11:12" ht="15" customHeight="1">
      <c r="K639" s="31" t="s">
        <v>1870</v>
      </c>
      <c r="L639" s="31" t="s">
        <v>1871</v>
      </c>
    </row>
    <row r="640" spans="11:12" ht="15" customHeight="1">
      <c r="K640" s="31" t="s">
        <v>1872</v>
      </c>
      <c r="L640" s="31" t="s">
        <v>1873</v>
      </c>
    </row>
    <row r="641" spans="11:12" ht="15" customHeight="1">
      <c r="K641" s="31" t="s">
        <v>1874</v>
      </c>
      <c r="L641" s="31" t="s">
        <v>1875</v>
      </c>
    </row>
    <row r="642" spans="11:12" ht="15" customHeight="1">
      <c r="K642" s="31" t="s">
        <v>1876</v>
      </c>
      <c r="L642" s="31" t="s">
        <v>1877</v>
      </c>
    </row>
    <row r="643" spans="11:12" ht="15" customHeight="1">
      <c r="K643" s="31" t="s">
        <v>1878</v>
      </c>
      <c r="L643" s="31" t="s">
        <v>1879</v>
      </c>
    </row>
    <row r="644" spans="11:12" ht="15" customHeight="1">
      <c r="K644" s="31" t="s">
        <v>1880</v>
      </c>
      <c r="L644" s="31" t="s">
        <v>1881</v>
      </c>
    </row>
    <row r="645" spans="11:12" ht="15" customHeight="1">
      <c r="K645" s="31" t="s">
        <v>1882</v>
      </c>
      <c r="L645" s="31" t="s">
        <v>1883</v>
      </c>
    </row>
    <row r="646" spans="11:12" ht="15" customHeight="1">
      <c r="K646" s="31" t="s">
        <v>1884</v>
      </c>
      <c r="L646" s="31" t="s">
        <v>1885</v>
      </c>
    </row>
    <row r="647" spans="11:12" ht="15" customHeight="1">
      <c r="K647" s="31" t="s">
        <v>1886</v>
      </c>
      <c r="L647" s="31" t="s">
        <v>1887</v>
      </c>
    </row>
    <row r="648" spans="11:12" ht="15" customHeight="1">
      <c r="K648" s="31" t="s">
        <v>1888</v>
      </c>
      <c r="L648" s="31" t="s">
        <v>1889</v>
      </c>
    </row>
    <row r="649" spans="11:12" ht="15" customHeight="1">
      <c r="K649" s="31" t="s">
        <v>1890</v>
      </c>
      <c r="L649" s="31" t="s">
        <v>1891</v>
      </c>
    </row>
    <row r="650" spans="11:12" ht="15" customHeight="1">
      <c r="K650" s="31" t="s">
        <v>1892</v>
      </c>
      <c r="L650" s="31" t="s">
        <v>1893</v>
      </c>
    </row>
    <row r="651" spans="11:12" ht="15" customHeight="1">
      <c r="K651" s="31" t="s">
        <v>1894</v>
      </c>
      <c r="L651" s="31" t="s">
        <v>1895</v>
      </c>
    </row>
    <row r="652" spans="11:12" ht="15" customHeight="1">
      <c r="K652" s="31" t="s">
        <v>1896</v>
      </c>
      <c r="L652" s="31" t="s">
        <v>1897</v>
      </c>
    </row>
    <row r="653" spans="11:12" ht="15" customHeight="1">
      <c r="K653" s="31" t="s">
        <v>1898</v>
      </c>
      <c r="L653" s="31" t="s">
        <v>1899</v>
      </c>
    </row>
    <row r="654" spans="11:12" ht="15" customHeight="1">
      <c r="K654" s="31" t="s">
        <v>1900</v>
      </c>
      <c r="L654" s="31" t="s">
        <v>1901</v>
      </c>
    </row>
    <row r="655" spans="11:12" ht="15" customHeight="1">
      <c r="K655" s="31" t="s">
        <v>1902</v>
      </c>
      <c r="L655" s="31" t="s">
        <v>1903</v>
      </c>
    </row>
    <row r="656" spans="11:12" ht="15" customHeight="1">
      <c r="K656" s="31" t="s">
        <v>1904</v>
      </c>
      <c r="L656" s="31" t="s">
        <v>1905</v>
      </c>
    </row>
    <row r="657" spans="11:12" ht="15" customHeight="1">
      <c r="K657" s="31" t="s">
        <v>1906</v>
      </c>
      <c r="L657" s="31" t="s">
        <v>1907</v>
      </c>
    </row>
    <row r="658" spans="11:12" ht="15" customHeight="1">
      <c r="K658" s="31" t="s">
        <v>1908</v>
      </c>
      <c r="L658" s="31" t="s">
        <v>1909</v>
      </c>
    </row>
    <row r="659" spans="11:12" ht="15" customHeight="1">
      <c r="K659" s="31" t="s">
        <v>1910</v>
      </c>
      <c r="L659" s="31" t="s">
        <v>1911</v>
      </c>
    </row>
    <row r="660" spans="11:12" ht="15" customHeight="1">
      <c r="K660" s="31" t="s">
        <v>1912</v>
      </c>
      <c r="L660" s="31" t="s">
        <v>1913</v>
      </c>
    </row>
    <row r="661" spans="11:12" ht="15" customHeight="1">
      <c r="K661" s="31" t="s">
        <v>1914</v>
      </c>
      <c r="L661" s="31" t="s">
        <v>1915</v>
      </c>
    </row>
    <row r="662" spans="11:12" ht="15" customHeight="1">
      <c r="K662" s="31" t="s">
        <v>1916</v>
      </c>
      <c r="L662" s="31" t="s">
        <v>1917</v>
      </c>
    </row>
    <row r="663" spans="11:12" ht="15" customHeight="1">
      <c r="K663" s="31" t="s">
        <v>1918</v>
      </c>
      <c r="L663" s="31" t="s">
        <v>1919</v>
      </c>
    </row>
    <row r="664" spans="11:12" ht="15" customHeight="1">
      <c r="K664" s="31" t="s">
        <v>1920</v>
      </c>
      <c r="L664" s="31" t="s">
        <v>1921</v>
      </c>
    </row>
    <row r="665" spans="11:12" ht="15" customHeight="1">
      <c r="K665" s="31" t="s">
        <v>1922</v>
      </c>
      <c r="L665" s="31" t="s">
        <v>1923</v>
      </c>
    </row>
    <row r="666" spans="11:12" ht="15" customHeight="1">
      <c r="K666" s="31" t="s">
        <v>1924</v>
      </c>
      <c r="L666" s="31" t="s">
        <v>1925</v>
      </c>
    </row>
    <row r="667" spans="11:12" ht="15" customHeight="1">
      <c r="K667" s="31" t="s">
        <v>1926</v>
      </c>
      <c r="L667" s="31" t="s">
        <v>1927</v>
      </c>
    </row>
    <row r="668" spans="11:12" ht="15" customHeight="1">
      <c r="K668" s="31" t="s">
        <v>1928</v>
      </c>
      <c r="L668" s="31" t="s">
        <v>1929</v>
      </c>
    </row>
    <row r="669" spans="11:12" ht="15" customHeight="1">
      <c r="K669" s="31" t="s">
        <v>1930</v>
      </c>
      <c r="L669" s="31" t="s">
        <v>1931</v>
      </c>
    </row>
    <row r="670" spans="11:12" ht="15" customHeight="1">
      <c r="K670" s="31" t="s">
        <v>1932</v>
      </c>
      <c r="L670" s="31" t="s">
        <v>1933</v>
      </c>
    </row>
    <row r="671" spans="11:12" ht="15" customHeight="1">
      <c r="K671" s="31" t="s">
        <v>1934</v>
      </c>
      <c r="L671" s="31" t="s">
        <v>1935</v>
      </c>
    </row>
    <row r="672" spans="11:12" ht="15" customHeight="1">
      <c r="K672" s="31" t="s">
        <v>1936</v>
      </c>
      <c r="L672" s="31" t="s">
        <v>1937</v>
      </c>
    </row>
    <row r="673" spans="11:12" ht="15" customHeight="1">
      <c r="K673" s="31" t="s">
        <v>1938</v>
      </c>
      <c r="L673" s="31" t="s">
        <v>1939</v>
      </c>
    </row>
    <row r="674" spans="11:12" ht="15" customHeight="1">
      <c r="K674" s="31" t="s">
        <v>1940</v>
      </c>
      <c r="L674" s="31" t="s">
        <v>1941</v>
      </c>
    </row>
    <row r="675" spans="11:12" ht="15" customHeight="1">
      <c r="K675" s="31" t="s">
        <v>1942</v>
      </c>
      <c r="L675" s="31" t="s">
        <v>1943</v>
      </c>
    </row>
    <row r="676" spans="11:12" ht="15" customHeight="1">
      <c r="K676" s="31" t="s">
        <v>1944</v>
      </c>
      <c r="L676" s="31" t="s">
        <v>1945</v>
      </c>
    </row>
    <row r="677" spans="11:12" ht="15" customHeight="1">
      <c r="K677" s="31" t="s">
        <v>1946</v>
      </c>
      <c r="L677" s="31" t="s">
        <v>1947</v>
      </c>
    </row>
    <row r="678" spans="11:12" ht="15" customHeight="1">
      <c r="K678" s="31" t="s">
        <v>1948</v>
      </c>
      <c r="L678" s="31" t="s">
        <v>1949</v>
      </c>
    </row>
    <row r="679" spans="11:12" ht="15" customHeight="1">
      <c r="K679" s="31" t="s">
        <v>1950</v>
      </c>
      <c r="L679" s="31" t="s">
        <v>1951</v>
      </c>
    </row>
    <row r="680" spans="11:12" ht="15" customHeight="1">
      <c r="K680" s="31" t="s">
        <v>1952</v>
      </c>
      <c r="L680" s="31" t="s">
        <v>1953</v>
      </c>
    </row>
    <row r="681" spans="11:12" ht="15" customHeight="1">
      <c r="K681" s="31" t="s">
        <v>1954</v>
      </c>
      <c r="L681" s="31" t="s">
        <v>1955</v>
      </c>
    </row>
    <row r="682" spans="11:12" ht="15" customHeight="1">
      <c r="K682" s="31" t="s">
        <v>1956</v>
      </c>
      <c r="L682" s="31" t="s">
        <v>1957</v>
      </c>
    </row>
    <row r="683" spans="11:12" ht="15" customHeight="1">
      <c r="K683" s="31" t="s">
        <v>1958</v>
      </c>
      <c r="L683" s="31" t="s">
        <v>1959</v>
      </c>
    </row>
    <row r="684" spans="11:12" ht="15" customHeight="1">
      <c r="K684" s="31" t="s">
        <v>1960</v>
      </c>
      <c r="L684" s="31" t="s">
        <v>1961</v>
      </c>
    </row>
    <row r="685" spans="11:12" ht="15" customHeight="1">
      <c r="K685" s="31" t="s">
        <v>1962</v>
      </c>
      <c r="L685" s="31" t="s">
        <v>1963</v>
      </c>
    </row>
    <row r="686" spans="11:12" ht="15" customHeight="1">
      <c r="K686" s="31" t="s">
        <v>1964</v>
      </c>
      <c r="L686" s="31" t="s">
        <v>1965</v>
      </c>
    </row>
    <row r="687" spans="11:12" ht="15" customHeight="1">
      <c r="K687" s="31" t="s">
        <v>1966</v>
      </c>
      <c r="L687" s="31" t="s">
        <v>1967</v>
      </c>
    </row>
    <row r="688" spans="11:12" ht="15" customHeight="1">
      <c r="K688" s="31" t="s">
        <v>1968</v>
      </c>
      <c r="L688" s="31" t="s">
        <v>1969</v>
      </c>
    </row>
    <row r="689" spans="11:12" ht="15" customHeight="1">
      <c r="K689" s="31" t="s">
        <v>1970</v>
      </c>
      <c r="L689" s="31" t="s">
        <v>1971</v>
      </c>
    </row>
    <row r="690" spans="11:12" ht="15" customHeight="1">
      <c r="K690" s="31" t="s">
        <v>1972</v>
      </c>
      <c r="L690" s="31" t="s">
        <v>1973</v>
      </c>
    </row>
    <row r="691" spans="11:12" ht="15" customHeight="1">
      <c r="K691" s="31" t="s">
        <v>1974</v>
      </c>
      <c r="L691" s="31" t="s">
        <v>1975</v>
      </c>
    </row>
    <row r="692" spans="11:12" ht="15" customHeight="1">
      <c r="K692" s="31" t="s">
        <v>1976</v>
      </c>
      <c r="L692" s="31" t="s">
        <v>1977</v>
      </c>
    </row>
    <row r="693" spans="11:12" ht="15" customHeight="1">
      <c r="K693" s="31" t="s">
        <v>1978</v>
      </c>
      <c r="L693" s="31" t="s">
        <v>1979</v>
      </c>
    </row>
    <row r="694" spans="11:12" ht="15" customHeight="1">
      <c r="K694" s="31" t="s">
        <v>1980</v>
      </c>
      <c r="L694" s="31" t="s">
        <v>1981</v>
      </c>
    </row>
    <row r="695" spans="11:12" ht="15" customHeight="1">
      <c r="K695" s="31" t="s">
        <v>1982</v>
      </c>
      <c r="L695" s="31" t="s">
        <v>1983</v>
      </c>
    </row>
    <row r="696" spans="11:12" ht="15" customHeight="1">
      <c r="K696" s="31" t="s">
        <v>1984</v>
      </c>
      <c r="L696" s="31" t="s">
        <v>1985</v>
      </c>
    </row>
    <row r="697" spans="11:12" ht="15" customHeight="1">
      <c r="K697" s="31" t="s">
        <v>1986</v>
      </c>
      <c r="L697" s="31" t="s">
        <v>1987</v>
      </c>
    </row>
    <row r="698" spans="11:12" ht="15" customHeight="1">
      <c r="K698" s="31" t="s">
        <v>1988</v>
      </c>
      <c r="L698" s="31" t="s">
        <v>1989</v>
      </c>
    </row>
    <row r="699" spans="11:12" ht="15" customHeight="1">
      <c r="K699" s="31" t="s">
        <v>1990</v>
      </c>
      <c r="L699" s="31" t="s">
        <v>1991</v>
      </c>
    </row>
    <row r="700" spans="11:12" ht="15" customHeight="1">
      <c r="K700" s="31" t="s">
        <v>1992</v>
      </c>
      <c r="L700" s="31" t="s">
        <v>1993</v>
      </c>
    </row>
    <row r="701" spans="11:12" ht="15" customHeight="1">
      <c r="K701" s="31" t="s">
        <v>1994</v>
      </c>
      <c r="L701" s="31" t="s">
        <v>1995</v>
      </c>
    </row>
    <row r="702" spans="11:12" ht="15" customHeight="1">
      <c r="K702" s="31" t="s">
        <v>1996</v>
      </c>
      <c r="L702" s="31" t="s">
        <v>1997</v>
      </c>
    </row>
    <row r="703" spans="11:12" ht="15" customHeight="1">
      <c r="K703" s="31" t="s">
        <v>1998</v>
      </c>
      <c r="L703" s="31" t="s">
        <v>1999</v>
      </c>
    </row>
    <row r="704" spans="11:12" ht="15" customHeight="1">
      <c r="K704" s="31" t="s">
        <v>2000</v>
      </c>
      <c r="L704" s="31" t="s">
        <v>2001</v>
      </c>
    </row>
    <row r="705" spans="11:12" ht="15" customHeight="1">
      <c r="K705" s="31" t="s">
        <v>2002</v>
      </c>
      <c r="L705" s="31" t="s">
        <v>2003</v>
      </c>
    </row>
    <row r="706" spans="11:12" ht="15" customHeight="1">
      <c r="K706" s="31" t="s">
        <v>2004</v>
      </c>
      <c r="L706" s="31" t="s">
        <v>2005</v>
      </c>
    </row>
    <row r="707" spans="11:12" ht="15" customHeight="1">
      <c r="K707" s="31" t="s">
        <v>2006</v>
      </c>
      <c r="L707" s="31" t="s">
        <v>2007</v>
      </c>
    </row>
    <row r="708" spans="11:12" ht="15" customHeight="1">
      <c r="K708" s="31" t="s">
        <v>2008</v>
      </c>
      <c r="L708" s="31" t="s">
        <v>2009</v>
      </c>
    </row>
    <row r="709" spans="11:12" ht="15" customHeight="1">
      <c r="K709" s="31" t="s">
        <v>2010</v>
      </c>
      <c r="L709" s="31" t="s">
        <v>2011</v>
      </c>
    </row>
    <row r="710" spans="11:12" ht="15" customHeight="1">
      <c r="K710" s="31" t="s">
        <v>2012</v>
      </c>
      <c r="L710" s="31" t="s">
        <v>2013</v>
      </c>
    </row>
    <row r="711" spans="11:12" ht="15" customHeight="1">
      <c r="K711" s="31" t="s">
        <v>2014</v>
      </c>
      <c r="L711" s="31" t="s">
        <v>2015</v>
      </c>
    </row>
    <row r="712" spans="11:12" ht="15" customHeight="1">
      <c r="K712" s="31" t="s">
        <v>2016</v>
      </c>
      <c r="L712" s="31" t="s">
        <v>2017</v>
      </c>
    </row>
    <row r="713" spans="11:12" ht="15" customHeight="1">
      <c r="K713" s="31" t="s">
        <v>2018</v>
      </c>
      <c r="L713" s="31" t="s">
        <v>2019</v>
      </c>
    </row>
    <row r="714" spans="11:12" ht="15" customHeight="1">
      <c r="K714" s="31" t="s">
        <v>2020</v>
      </c>
      <c r="L714" s="31" t="s">
        <v>2021</v>
      </c>
    </row>
    <row r="715" spans="11:12" ht="15" customHeight="1">
      <c r="K715" s="31" t="s">
        <v>2022</v>
      </c>
      <c r="L715" s="31" t="s">
        <v>2023</v>
      </c>
    </row>
    <row r="716" spans="11:12" ht="15" customHeight="1">
      <c r="K716" s="31" t="s">
        <v>2024</v>
      </c>
      <c r="L716" s="31" t="s">
        <v>2025</v>
      </c>
    </row>
    <row r="717" spans="11:12" ht="15" customHeight="1">
      <c r="K717" s="31" t="s">
        <v>2026</v>
      </c>
      <c r="L717" s="31" t="s">
        <v>2027</v>
      </c>
    </row>
    <row r="718" spans="11:12" ht="15" customHeight="1">
      <c r="K718" s="31" t="s">
        <v>2028</v>
      </c>
      <c r="L718" s="31" t="s">
        <v>2029</v>
      </c>
    </row>
    <row r="719" spans="11:12" ht="15" customHeight="1">
      <c r="K719" s="31" t="s">
        <v>2030</v>
      </c>
      <c r="L719" s="31" t="s">
        <v>2031</v>
      </c>
    </row>
    <row r="720" spans="11:12" ht="15" customHeight="1">
      <c r="K720" s="31" t="s">
        <v>2032</v>
      </c>
      <c r="L720" s="31" t="s">
        <v>2033</v>
      </c>
    </row>
    <row r="721" spans="11:12" ht="15" customHeight="1">
      <c r="K721" s="31" t="s">
        <v>2034</v>
      </c>
      <c r="L721" s="31" t="s">
        <v>2035</v>
      </c>
    </row>
    <row r="722" spans="11:12" ht="15" customHeight="1">
      <c r="K722" s="31" t="s">
        <v>2036</v>
      </c>
      <c r="L722" s="31" t="s">
        <v>2037</v>
      </c>
    </row>
    <row r="723" spans="11:12" ht="15" customHeight="1">
      <c r="K723" s="31" t="s">
        <v>2038</v>
      </c>
      <c r="L723" s="31" t="s">
        <v>2039</v>
      </c>
    </row>
    <row r="724" spans="11:12" ht="15" customHeight="1">
      <c r="K724" s="31" t="s">
        <v>2040</v>
      </c>
      <c r="L724" s="31" t="s">
        <v>2041</v>
      </c>
    </row>
    <row r="725" spans="11:12" ht="15" customHeight="1">
      <c r="K725" s="31" t="s">
        <v>2042</v>
      </c>
      <c r="L725" s="31" t="s">
        <v>2043</v>
      </c>
    </row>
    <row r="726" spans="11:12" ht="15" customHeight="1">
      <c r="K726" s="31" t="s">
        <v>2044</v>
      </c>
      <c r="L726" s="31" t="s">
        <v>2045</v>
      </c>
    </row>
    <row r="727" spans="11:12" ht="15" customHeight="1">
      <c r="K727" s="31" t="s">
        <v>2046</v>
      </c>
      <c r="L727" s="31" t="s">
        <v>2047</v>
      </c>
    </row>
    <row r="728" spans="11:12" ht="15" customHeight="1">
      <c r="K728" s="31" t="s">
        <v>2048</v>
      </c>
      <c r="L728" s="31" t="s">
        <v>2049</v>
      </c>
    </row>
    <row r="729" spans="11:12" ht="15" customHeight="1">
      <c r="K729" s="31" t="s">
        <v>2050</v>
      </c>
      <c r="L729" s="31" t="s">
        <v>2051</v>
      </c>
    </row>
    <row r="730" spans="11:12" ht="15" customHeight="1">
      <c r="K730" s="31" t="s">
        <v>2052</v>
      </c>
      <c r="L730" s="31" t="s">
        <v>2053</v>
      </c>
    </row>
    <row r="731" spans="11:12" ht="15" customHeight="1">
      <c r="K731" s="31" t="s">
        <v>2054</v>
      </c>
      <c r="L731" s="31" t="s">
        <v>2055</v>
      </c>
    </row>
    <row r="732" spans="11:12" ht="15" customHeight="1">
      <c r="K732" s="31" t="s">
        <v>2056</v>
      </c>
      <c r="L732" s="31" t="s">
        <v>2057</v>
      </c>
    </row>
    <row r="733" spans="11:12" ht="15" customHeight="1">
      <c r="K733" s="31" t="s">
        <v>2058</v>
      </c>
      <c r="L733" s="31" t="s">
        <v>2059</v>
      </c>
    </row>
    <row r="734" spans="11:12" ht="15" customHeight="1">
      <c r="K734" s="31" t="s">
        <v>2060</v>
      </c>
      <c r="L734" s="31" t="s">
        <v>2061</v>
      </c>
    </row>
    <row r="735" spans="11:12" ht="15" customHeight="1">
      <c r="K735" s="31" t="s">
        <v>2062</v>
      </c>
      <c r="L735" s="31" t="s">
        <v>2063</v>
      </c>
    </row>
    <row r="736" spans="11:12" ht="15" customHeight="1">
      <c r="K736" s="31" t="s">
        <v>2064</v>
      </c>
      <c r="L736" s="31" t="s">
        <v>2065</v>
      </c>
    </row>
    <row r="737" spans="11:12" ht="15" customHeight="1">
      <c r="K737" s="31" t="s">
        <v>2066</v>
      </c>
      <c r="L737" s="31" t="s">
        <v>2067</v>
      </c>
    </row>
    <row r="738" spans="11:12" ht="15" customHeight="1">
      <c r="K738" s="31" t="s">
        <v>2068</v>
      </c>
      <c r="L738" s="31" t="s">
        <v>2069</v>
      </c>
    </row>
    <row r="739" spans="11:12" ht="15" customHeight="1">
      <c r="K739" s="31" t="s">
        <v>2070</v>
      </c>
      <c r="L739" s="31" t="s">
        <v>2071</v>
      </c>
    </row>
    <row r="740" spans="11:12" ht="15" customHeight="1">
      <c r="K740" s="31" t="s">
        <v>2072</v>
      </c>
      <c r="L740" s="31" t="s">
        <v>2073</v>
      </c>
    </row>
    <row r="741" spans="11:12" ht="15" customHeight="1">
      <c r="K741" s="31" t="s">
        <v>2074</v>
      </c>
      <c r="L741" s="31" t="s">
        <v>2075</v>
      </c>
    </row>
    <row r="742" spans="11:12" ht="15" customHeight="1">
      <c r="K742" s="31" t="s">
        <v>2076</v>
      </c>
      <c r="L742" s="31" t="s">
        <v>2077</v>
      </c>
    </row>
    <row r="743" spans="11:12" ht="15" customHeight="1">
      <c r="K743" s="31" t="s">
        <v>2078</v>
      </c>
      <c r="L743" s="31" t="s">
        <v>2079</v>
      </c>
    </row>
    <row r="744" spans="11:12" ht="15" customHeight="1">
      <c r="K744" s="31" t="s">
        <v>2080</v>
      </c>
      <c r="L744" s="31" t="s">
        <v>2081</v>
      </c>
    </row>
    <row r="745" spans="11:12" ht="15" customHeight="1">
      <c r="K745" s="31" t="s">
        <v>2082</v>
      </c>
      <c r="L745" s="31" t="s">
        <v>2083</v>
      </c>
    </row>
    <row r="746" spans="11:12" ht="15" customHeight="1">
      <c r="K746" s="31" t="s">
        <v>2084</v>
      </c>
      <c r="L746" s="31" t="s">
        <v>2085</v>
      </c>
    </row>
    <row r="747" spans="11:12" ht="15" customHeight="1">
      <c r="K747" s="31" t="s">
        <v>2086</v>
      </c>
      <c r="L747" s="31" t="s">
        <v>2087</v>
      </c>
    </row>
    <row r="748" spans="11:12" ht="15" customHeight="1">
      <c r="K748" s="31" t="s">
        <v>2088</v>
      </c>
      <c r="L748" s="31" t="s">
        <v>2089</v>
      </c>
    </row>
    <row r="749" spans="11:12" ht="15" customHeight="1">
      <c r="K749" s="31" t="s">
        <v>2090</v>
      </c>
      <c r="L749" s="31" t="s">
        <v>2091</v>
      </c>
    </row>
    <row r="750" spans="11:12" ht="15" customHeight="1">
      <c r="K750" s="31" t="s">
        <v>2092</v>
      </c>
      <c r="L750" s="31" t="s">
        <v>2093</v>
      </c>
    </row>
    <row r="751" spans="11:12" ht="15" customHeight="1">
      <c r="K751" s="31" t="s">
        <v>2094</v>
      </c>
      <c r="L751" s="31" t="s">
        <v>2095</v>
      </c>
    </row>
    <row r="752" spans="11:12" ht="15" customHeight="1">
      <c r="K752" s="31" t="s">
        <v>2096</v>
      </c>
      <c r="L752" s="31" t="s">
        <v>2097</v>
      </c>
    </row>
    <row r="753" spans="11:12" ht="15" customHeight="1">
      <c r="K753" s="31" t="s">
        <v>2098</v>
      </c>
      <c r="L753" s="31" t="s">
        <v>2099</v>
      </c>
    </row>
    <row r="754" spans="11:12" ht="15" customHeight="1">
      <c r="K754" s="31" t="s">
        <v>2100</v>
      </c>
      <c r="L754" s="31" t="s">
        <v>2101</v>
      </c>
    </row>
    <row r="755" spans="11:12" ht="15" customHeight="1">
      <c r="K755" s="31" t="s">
        <v>2102</v>
      </c>
      <c r="L755" s="31" t="s">
        <v>2103</v>
      </c>
    </row>
    <row r="756" spans="11:12" ht="15" customHeight="1">
      <c r="K756" s="31" t="s">
        <v>2104</v>
      </c>
      <c r="L756" s="31" t="s">
        <v>2105</v>
      </c>
    </row>
    <row r="757" spans="11:12" ht="15" customHeight="1">
      <c r="K757" s="31" t="s">
        <v>2106</v>
      </c>
      <c r="L757" s="31" t="s">
        <v>2107</v>
      </c>
    </row>
    <row r="758" spans="11:12" ht="15" customHeight="1">
      <c r="K758" s="31" t="s">
        <v>2108</v>
      </c>
      <c r="L758" s="31" t="s">
        <v>2109</v>
      </c>
    </row>
    <row r="759" spans="11:12" ht="15" customHeight="1">
      <c r="K759" s="31" t="s">
        <v>2110</v>
      </c>
      <c r="L759" s="31" t="s">
        <v>2111</v>
      </c>
    </row>
    <row r="760" spans="11:12" ht="15" customHeight="1">
      <c r="K760" s="31" t="s">
        <v>2112</v>
      </c>
      <c r="L760" s="31" t="s">
        <v>2113</v>
      </c>
    </row>
    <row r="761" spans="11:12" ht="15" customHeight="1">
      <c r="K761" s="31" t="s">
        <v>2114</v>
      </c>
      <c r="L761" s="31" t="s">
        <v>2115</v>
      </c>
    </row>
    <row r="762" spans="11:12" ht="15" customHeight="1">
      <c r="K762" s="31" t="s">
        <v>2116</v>
      </c>
      <c r="L762" s="31" t="s">
        <v>2117</v>
      </c>
    </row>
    <row r="763" spans="11:12" ht="15" customHeight="1">
      <c r="K763" s="31" t="s">
        <v>2118</v>
      </c>
      <c r="L763" s="31" t="s">
        <v>2119</v>
      </c>
    </row>
    <row r="764" spans="11:12" ht="15" customHeight="1">
      <c r="K764" s="31" t="s">
        <v>2120</v>
      </c>
      <c r="L764" s="31" t="s">
        <v>2121</v>
      </c>
    </row>
    <row r="765" spans="11:12" ht="15" customHeight="1">
      <c r="K765" s="31" t="s">
        <v>2122</v>
      </c>
      <c r="L765" s="31" t="s">
        <v>2123</v>
      </c>
    </row>
    <row r="766" spans="11:12" ht="15" customHeight="1">
      <c r="K766" s="31" t="s">
        <v>2124</v>
      </c>
      <c r="L766" s="31" t="s">
        <v>2125</v>
      </c>
    </row>
    <row r="767" spans="11:12" ht="15" customHeight="1">
      <c r="K767" s="31" t="s">
        <v>2126</v>
      </c>
      <c r="L767" s="31" t="s">
        <v>2127</v>
      </c>
    </row>
    <row r="768" spans="11:12" ht="15" customHeight="1">
      <c r="K768" s="31" t="s">
        <v>2128</v>
      </c>
      <c r="L768" s="31" t="s">
        <v>2129</v>
      </c>
    </row>
    <row r="769" spans="11:12" ht="15" customHeight="1">
      <c r="K769" s="31" t="s">
        <v>2130</v>
      </c>
      <c r="L769" s="31" t="s">
        <v>2131</v>
      </c>
    </row>
    <row r="770" spans="11:12" ht="15" customHeight="1">
      <c r="K770" s="31" t="s">
        <v>2132</v>
      </c>
      <c r="L770" s="31" t="s">
        <v>2133</v>
      </c>
    </row>
    <row r="771" spans="11:12" ht="15" customHeight="1">
      <c r="K771" s="31" t="s">
        <v>2134</v>
      </c>
      <c r="L771" s="31" t="s">
        <v>2135</v>
      </c>
    </row>
    <row r="772" spans="11:12" ht="15" customHeight="1">
      <c r="K772" s="31" t="s">
        <v>2136</v>
      </c>
      <c r="L772" s="31" t="s">
        <v>2137</v>
      </c>
    </row>
    <row r="773" spans="11:12" ht="15" customHeight="1">
      <c r="K773" s="31" t="s">
        <v>2138</v>
      </c>
      <c r="L773" s="31" t="s">
        <v>2139</v>
      </c>
    </row>
    <row r="774" spans="11:12" ht="15" customHeight="1">
      <c r="K774" s="31" t="s">
        <v>2140</v>
      </c>
      <c r="L774" s="31" t="s">
        <v>2141</v>
      </c>
    </row>
    <row r="775" spans="11:12" ht="15" customHeight="1">
      <c r="K775" s="31" t="s">
        <v>2142</v>
      </c>
      <c r="L775" s="31" t="s">
        <v>2143</v>
      </c>
    </row>
    <row r="776" spans="11:12" ht="15" customHeight="1">
      <c r="K776" s="31" t="s">
        <v>2144</v>
      </c>
      <c r="L776" s="31" t="s">
        <v>2145</v>
      </c>
    </row>
    <row r="777" spans="11:12" ht="15" customHeight="1">
      <c r="K777" s="31" t="s">
        <v>2146</v>
      </c>
      <c r="L777" s="31" t="s">
        <v>2147</v>
      </c>
    </row>
    <row r="778" spans="11:12" ht="15" customHeight="1">
      <c r="K778" s="31" t="s">
        <v>2148</v>
      </c>
      <c r="L778" s="31" t="s">
        <v>2149</v>
      </c>
    </row>
    <row r="779" spans="11:12" ht="15" customHeight="1">
      <c r="K779" s="31" t="s">
        <v>2150</v>
      </c>
      <c r="L779" s="31" t="s">
        <v>2151</v>
      </c>
    </row>
    <row r="780" spans="11:12" ht="15" customHeight="1">
      <c r="K780" s="31" t="s">
        <v>2152</v>
      </c>
      <c r="L780" s="31" t="s">
        <v>2153</v>
      </c>
    </row>
    <row r="781" spans="11:12" ht="15" customHeight="1">
      <c r="K781" s="31" t="s">
        <v>2154</v>
      </c>
      <c r="L781" s="31" t="s">
        <v>2155</v>
      </c>
    </row>
    <row r="782" spans="11:12" ht="15" customHeight="1">
      <c r="K782" s="31" t="s">
        <v>2156</v>
      </c>
      <c r="L782" s="31" t="s">
        <v>2157</v>
      </c>
    </row>
    <row r="783" spans="11:12" ht="15" customHeight="1">
      <c r="K783" s="31" t="s">
        <v>2158</v>
      </c>
      <c r="L783" s="31" t="s">
        <v>2159</v>
      </c>
    </row>
    <row r="784" spans="11:12" ht="15" customHeight="1">
      <c r="K784" s="31" t="s">
        <v>2160</v>
      </c>
      <c r="L784" s="31" t="s">
        <v>2161</v>
      </c>
    </row>
    <row r="785" spans="11:12" ht="15" customHeight="1">
      <c r="K785" s="31" t="s">
        <v>2162</v>
      </c>
      <c r="L785" s="31" t="s">
        <v>2163</v>
      </c>
    </row>
    <row r="786" spans="11:12" ht="15" customHeight="1">
      <c r="K786" s="31" t="s">
        <v>2164</v>
      </c>
      <c r="L786" s="31" t="s">
        <v>2165</v>
      </c>
    </row>
    <row r="787" spans="11:12" ht="15" customHeight="1">
      <c r="K787" s="31" t="s">
        <v>2166</v>
      </c>
      <c r="L787" s="31" t="s">
        <v>2167</v>
      </c>
    </row>
    <row r="788" spans="11:12" ht="15" customHeight="1">
      <c r="K788" s="31" t="s">
        <v>2168</v>
      </c>
      <c r="L788" s="31" t="s">
        <v>2169</v>
      </c>
    </row>
    <row r="789" spans="11:12" ht="15" customHeight="1">
      <c r="K789" s="31" t="s">
        <v>2170</v>
      </c>
      <c r="L789" s="31" t="s">
        <v>2171</v>
      </c>
    </row>
    <row r="790" spans="11:12" ht="15" customHeight="1">
      <c r="K790" s="31" t="s">
        <v>2172</v>
      </c>
      <c r="L790" s="31" t="s">
        <v>2173</v>
      </c>
    </row>
    <row r="791" spans="11:12" ht="15" customHeight="1">
      <c r="K791" s="31" t="s">
        <v>2174</v>
      </c>
      <c r="L791" s="31" t="s">
        <v>2175</v>
      </c>
    </row>
    <row r="792" spans="11:12" ht="15" customHeight="1">
      <c r="K792" s="31" t="s">
        <v>2176</v>
      </c>
      <c r="L792" s="31" t="s">
        <v>2177</v>
      </c>
    </row>
    <row r="793" spans="11:12" ht="15" customHeight="1">
      <c r="K793" s="31" t="s">
        <v>2178</v>
      </c>
      <c r="L793" s="31" t="s">
        <v>2179</v>
      </c>
    </row>
    <row r="794" spans="11:12" ht="15" customHeight="1">
      <c r="K794" s="31" t="s">
        <v>2180</v>
      </c>
      <c r="L794" s="31" t="s">
        <v>2181</v>
      </c>
    </row>
    <row r="795" spans="11:12" ht="15" customHeight="1">
      <c r="K795" s="31" t="s">
        <v>2182</v>
      </c>
      <c r="L795" s="31" t="s">
        <v>2183</v>
      </c>
    </row>
    <row r="796" spans="11:12" ht="15" customHeight="1">
      <c r="K796" s="31" t="s">
        <v>2184</v>
      </c>
      <c r="L796" s="31" t="s">
        <v>2185</v>
      </c>
    </row>
    <row r="797" spans="11:12" ht="15" customHeight="1">
      <c r="K797" s="31" t="s">
        <v>2186</v>
      </c>
      <c r="L797" s="31" t="s">
        <v>2187</v>
      </c>
    </row>
    <row r="798" spans="11:12" ht="15" customHeight="1">
      <c r="K798" s="31" t="s">
        <v>2188</v>
      </c>
      <c r="L798" s="31" t="s">
        <v>2189</v>
      </c>
    </row>
    <row r="799" spans="11:12" ht="15" customHeight="1">
      <c r="K799" s="31" t="s">
        <v>2190</v>
      </c>
      <c r="L799" s="31" t="s">
        <v>2191</v>
      </c>
    </row>
    <row r="800" spans="11:12" ht="15" customHeight="1">
      <c r="K800" s="31" t="s">
        <v>2192</v>
      </c>
      <c r="L800" s="31" t="s">
        <v>2193</v>
      </c>
    </row>
    <row r="801" spans="11:12" ht="15" customHeight="1">
      <c r="K801" s="31" t="s">
        <v>2194</v>
      </c>
      <c r="L801" s="31" t="s">
        <v>2195</v>
      </c>
    </row>
    <row r="802" spans="11:12" ht="15" customHeight="1">
      <c r="K802" s="31" t="s">
        <v>2196</v>
      </c>
      <c r="L802" s="31" t="s">
        <v>2197</v>
      </c>
    </row>
    <row r="803" spans="11:12" ht="15" customHeight="1">
      <c r="K803" s="31" t="s">
        <v>2198</v>
      </c>
      <c r="L803" s="31" t="s">
        <v>2199</v>
      </c>
    </row>
    <row r="804" spans="11:12" ht="15" customHeight="1">
      <c r="K804" s="31" t="s">
        <v>2200</v>
      </c>
      <c r="L804" s="31" t="s">
        <v>2201</v>
      </c>
    </row>
    <row r="805" spans="11:12" ht="15" customHeight="1">
      <c r="K805" s="31" t="s">
        <v>2202</v>
      </c>
      <c r="L805" s="31" t="s">
        <v>2203</v>
      </c>
    </row>
    <row r="806" spans="11:12" ht="15" customHeight="1">
      <c r="K806" s="31" t="s">
        <v>2204</v>
      </c>
      <c r="L806" s="31" t="s">
        <v>2205</v>
      </c>
    </row>
    <row r="807" spans="11:12" ht="15" customHeight="1">
      <c r="K807" s="31" t="s">
        <v>2206</v>
      </c>
      <c r="L807" s="31" t="s">
        <v>2207</v>
      </c>
    </row>
    <row r="808" spans="11:12" ht="15" customHeight="1">
      <c r="K808" s="31" t="s">
        <v>2208</v>
      </c>
      <c r="L808" s="31" t="s">
        <v>2209</v>
      </c>
    </row>
    <row r="809" spans="11:12" ht="15" customHeight="1">
      <c r="K809" s="31" t="s">
        <v>2210</v>
      </c>
      <c r="L809" s="31" t="s">
        <v>2211</v>
      </c>
    </row>
    <row r="810" spans="11:12" ht="15" customHeight="1">
      <c r="K810" s="31" t="s">
        <v>2212</v>
      </c>
      <c r="L810" s="31" t="s">
        <v>2213</v>
      </c>
    </row>
    <row r="811" spans="11:12" ht="15" customHeight="1">
      <c r="K811" s="31" t="s">
        <v>2214</v>
      </c>
      <c r="L811" s="31" t="s">
        <v>2215</v>
      </c>
    </row>
    <row r="812" spans="11:12" ht="15" customHeight="1">
      <c r="K812" s="31" t="s">
        <v>2216</v>
      </c>
      <c r="L812" s="31" t="s">
        <v>2217</v>
      </c>
    </row>
    <row r="813" spans="11:12" ht="15" customHeight="1">
      <c r="K813" s="31" t="s">
        <v>2218</v>
      </c>
      <c r="L813" s="31" t="s">
        <v>2219</v>
      </c>
    </row>
    <row r="814" spans="11:12" ht="15" customHeight="1">
      <c r="K814" s="31" t="s">
        <v>2220</v>
      </c>
      <c r="L814" s="31" t="s">
        <v>2221</v>
      </c>
    </row>
    <row r="815" spans="11:12" ht="15" customHeight="1">
      <c r="K815" s="31" t="s">
        <v>2222</v>
      </c>
      <c r="L815" s="31" t="s">
        <v>2223</v>
      </c>
    </row>
    <row r="816" spans="11:12" ht="15" customHeight="1">
      <c r="K816" s="31" t="s">
        <v>2224</v>
      </c>
      <c r="L816" s="31" t="s">
        <v>2225</v>
      </c>
    </row>
    <row r="817" spans="11:12" ht="15" customHeight="1">
      <c r="K817" s="31" t="s">
        <v>2226</v>
      </c>
      <c r="L817" s="31" t="s">
        <v>2227</v>
      </c>
    </row>
    <row r="818" spans="11:12" ht="15" customHeight="1">
      <c r="K818" s="31" t="s">
        <v>2228</v>
      </c>
      <c r="L818" s="31" t="s">
        <v>2229</v>
      </c>
    </row>
    <row r="819" spans="11:12" ht="15" customHeight="1">
      <c r="K819" s="31" t="s">
        <v>2230</v>
      </c>
      <c r="L819" s="31" t="s">
        <v>2231</v>
      </c>
    </row>
    <row r="820" spans="11:12" ht="15" customHeight="1">
      <c r="K820" s="31" t="s">
        <v>2232</v>
      </c>
      <c r="L820" s="31" t="s">
        <v>2233</v>
      </c>
    </row>
    <row r="821" spans="11:12" ht="15" customHeight="1">
      <c r="K821" s="31" t="s">
        <v>2234</v>
      </c>
      <c r="L821" s="31" t="s">
        <v>2235</v>
      </c>
    </row>
    <row r="822" spans="11:12" ht="15" customHeight="1">
      <c r="K822" s="31" t="s">
        <v>2236</v>
      </c>
      <c r="L822" s="31" t="s">
        <v>2237</v>
      </c>
    </row>
    <row r="823" spans="11:12" ht="15" customHeight="1">
      <c r="K823" s="31" t="s">
        <v>2238</v>
      </c>
      <c r="L823" s="31" t="s">
        <v>2239</v>
      </c>
    </row>
    <row r="824" spans="11:12" ht="15" customHeight="1">
      <c r="K824" s="31" t="s">
        <v>2240</v>
      </c>
      <c r="L824" s="31" t="s">
        <v>2241</v>
      </c>
    </row>
    <row r="825" spans="11:12" ht="15" customHeight="1">
      <c r="K825" s="31" t="s">
        <v>2242</v>
      </c>
      <c r="L825" s="31" t="s">
        <v>2243</v>
      </c>
    </row>
    <row r="826" spans="11:12" ht="15" customHeight="1">
      <c r="K826" s="31" t="s">
        <v>2244</v>
      </c>
      <c r="L826" s="31" t="s">
        <v>2245</v>
      </c>
    </row>
    <row r="827" spans="11:12" ht="15" customHeight="1">
      <c r="K827" s="31" t="s">
        <v>2246</v>
      </c>
      <c r="L827" s="31" t="s">
        <v>2247</v>
      </c>
    </row>
    <row r="828" spans="11:12" ht="15" customHeight="1">
      <c r="K828" s="31" t="s">
        <v>2248</v>
      </c>
      <c r="L828" s="31" t="s">
        <v>2249</v>
      </c>
    </row>
    <row r="829" spans="11:12" ht="15" customHeight="1">
      <c r="K829" s="31" t="s">
        <v>2250</v>
      </c>
      <c r="L829" s="31" t="s">
        <v>2251</v>
      </c>
    </row>
    <row r="830" spans="11:12" ht="15" customHeight="1">
      <c r="K830" s="31" t="s">
        <v>2252</v>
      </c>
      <c r="L830" s="31" t="s">
        <v>2253</v>
      </c>
    </row>
    <row r="831" spans="11:12" ht="15" customHeight="1">
      <c r="K831" s="31" t="s">
        <v>2254</v>
      </c>
      <c r="L831" s="31" t="s">
        <v>2255</v>
      </c>
    </row>
    <row r="832" spans="11:12" ht="15" customHeight="1">
      <c r="K832" s="31" t="s">
        <v>2256</v>
      </c>
      <c r="L832" s="31" t="s">
        <v>2257</v>
      </c>
    </row>
    <row r="833" spans="11:12" ht="15" customHeight="1">
      <c r="K833" s="31" t="s">
        <v>2258</v>
      </c>
      <c r="L833" s="31" t="s">
        <v>2259</v>
      </c>
    </row>
    <row r="834" spans="11:12" ht="15" customHeight="1">
      <c r="K834" s="31" t="s">
        <v>2260</v>
      </c>
      <c r="L834" s="31" t="s">
        <v>2261</v>
      </c>
    </row>
    <row r="835" spans="11:12" ht="15" customHeight="1">
      <c r="K835" s="31" t="s">
        <v>2262</v>
      </c>
      <c r="L835" s="31" t="s">
        <v>2263</v>
      </c>
    </row>
    <row r="836" spans="11:12" ht="15" customHeight="1">
      <c r="K836" s="31" t="s">
        <v>2264</v>
      </c>
      <c r="L836" s="31" t="s">
        <v>2265</v>
      </c>
    </row>
    <row r="837" spans="11:12" ht="15" customHeight="1">
      <c r="K837" s="31" t="s">
        <v>2266</v>
      </c>
      <c r="L837" s="31" t="s">
        <v>2267</v>
      </c>
    </row>
    <row r="838" spans="11:12" ht="15" customHeight="1">
      <c r="K838" s="31" t="s">
        <v>2268</v>
      </c>
      <c r="L838" s="31" t="s">
        <v>2269</v>
      </c>
    </row>
    <row r="839" spans="11:12" ht="15" customHeight="1">
      <c r="K839" s="31" t="s">
        <v>2270</v>
      </c>
      <c r="L839" s="31" t="s">
        <v>2271</v>
      </c>
    </row>
    <row r="840" spans="11:12" ht="15" customHeight="1">
      <c r="K840" s="31" t="s">
        <v>2272</v>
      </c>
      <c r="L840" s="31" t="s">
        <v>2273</v>
      </c>
    </row>
    <row r="841" spans="11:12" ht="15" customHeight="1">
      <c r="K841" s="31" t="s">
        <v>2274</v>
      </c>
      <c r="L841" s="31" t="s">
        <v>2275</v>
      </c>
    </row>
    <row r="842" spans="11:12" ht="15" customHeight="1">
      <c r="K842" s="31" t="s">
        <v>2276</v>
      </c>
      <c r="L842" s="31" t="s">
        <v>2277</v>
      </c>
    </row>
    <row r="843" spans="11:12" ht="15" customHeight="1">
      <c r="K843" s="31" t="s">
        <v>2278</v>
      </c>
      <c r="L843" s="31" t="s">
        <v>2279</v>
      </c>
    </row>
    <row r="844" spans="11:12" ht="15" customHeight="1">
      <c r="K844" s="31" t="s">
        <v>2280</v>
      </c>
      <c r="L844" s="31" t="s">
        <v>2281</v>
      </c>
    </row>
    <row r="845" spans="11:12" ht="15" customHeight="1">
      <c r="K845" s="31" t="s">
        <v>2282</v>
      </c>
      <c r="L845" s="31" t="s">
        <v>2283</v>
      </c>
    </row>
    <row r="846" spans="11:12" ht="15" customHeight="1">
      <c r="K846" s="31" t="s">
        <v>2284</v>
      </c>
      <c r="L846" s="31" t="s">
        <v>2285</v>
      </c>
    </row>
    <row r="847" spans="11:12" ht="15" customHeight="1">
      <c r="K847" s="31" t="s">
        <v>2286</v>
      </c>
      <c r="L847" s="31" t="s">
        <v>2287</v>
      </c>
    </row>
    <row r="848" spans="11:12" ht="15" customHeight="1">
      <c r="K848" s="31" t="s">
        <v>2288</v>
      </c>
      <c r="L848" s="31" t="s">
        <v>2289</v>
      </c>
    </row>
    <row r="849" spans="11:12" ht="15" customHeight="1">
      <c r="K849" s="31" t="s">
        <v>2290</v>
      </c>
      <c r="L849" s="31" t="s">
        <v>2291</v>
      </c>
    </row>
    <row r="850" spans="11:12" ht="15" customHeight="1">
      <c r="K850" s="31" t="s">
        <v>2292</v>
      </c>
      <c r="L850" s="31" t="s">
        <v>2293</v>
      </c>
    </row>
    <row r="851" spans="11:12" ht="15" customHeight="1">
      <c r="K851" s="31" t="s">
        <v>2294</v>
      </c>
      <c r="L851" s="31" t="s">
        <v>2295</v>
      </c>
    </row>
    <row r="852" spans="11:12" ht="15" customHeight="1">
      <c r="K852" s="31" t="s">
        <v>2296</v>
      </c>
      <c r="L852" s="31" t="s">
        <v>2297</v>
      </c>
    </row>
    <row r="853" spans="11:12" ht="15" customHeight="1">
      <c r="K853" s="31" t="s">
        <v>2298</v>
      </c>
      <c r="L853" s="31" t="s">
        <v>2299</v>
      </c>
    </row>
    <row r="854" spans="11:12" ht="15" customHeight="1">
      <c r="K854" s="31" t="s">
        <v>2300</v>
      </c>
      <c r="L854" s="31" t="s">
        <v>2301</v>
      </c>
    </row>
    <row r="855" spans="11:12" ht="15" customHeight="1">
      <c r="K855" s="31" t="s">
        <v>2302</v>
      </c>
      <c r="L855" s="31" t="s">
        <v>2303</v>
      </c>
    </row>
    <row r="856" spans="11:12" ht="15" customHeight="1">
      <c r="K856" s="31" t="s">
        <v>2304</v>
      </c>
      <c r="L856" s="31" t="s">
        <v>2305</v>
      </c>
    </row>
    <row r="857" spans="11:12" ht="15" customHeight="1">
      <c r="K857" s="31" t="s">
        <v>2306</v>
      </c>
      <c r="L857" s="31" t="s">
        <v>2307</v>
      </c>
    </row>
    <row r="858" spans="11:12" ht="15" customHeight="1">
      <c r="K858" s="31" t="s">
        <v>2308</v>
      </c>
      <c r="L858" s="31" t="s">
        <v>2309</v>
      </c>
    </row>
    <row r="859" spans="11:12" ht="15" customHeight="1">
      <c r="K859" s="31" t="s">
        <v>2310</v>
      </c>
      <c r="L859" s="31" t="s">
        <v>2311</v>
      </c>
    </row>
    <row r="860" spans="11:12" ht="15" customHeight="1">
      <c r="K860" s="31" t="s">
        <v>2312</v>
      </c>
      <c r="L860" s="31" t="s">
        <v>2313</v>
      </c>
    </row>
    <row r="861" spans="11:12" ht="15" customHeight="1">
      <c r="K861" s="31" t="s">
        <v>2314</v>
      </c>
      <c r="L861" s="31" t="s">
        <v>2315</v>
      </c>
    </row>
    <row r="862" spans="11:12" ht="15" customHeight="1">
      <c r="K862" s="31" t="s">
        <v>2316</v>
      </c>
      <c r="L862" s="31" t="s">
        <v>2317</v>
      </c>
    </row>
    <row r="863" spans="11:12" ht="15" customHeight="1">
      <c r="K863" s="31" t="s">
        <v>2318</v>
      </c>
      <c r="L863" s="31" t="s">
        <v>2319</v>
      </c>
    </row>
    <row r="864" spans="11:12" ht="15" customHeight="1">
      <c r="K864" s="31" t="s">
        <v>2320</v>
      </c>
      <c r="L864" s="31" t="s">
        <v>2321</v>
      </c>
    </row>
    <row r="865" spans="11:12" ht="15" customHeight="1">
      <c r="K865" s="31" t="s">
        <v>2322</v>
      </c>
      <c r="L865" s="31" t="s">
        <v>2323</v>
      </c>
    </row>
    <row r="866" spans="11:12" ht="15" customHeight="1">
      <c r="K866" s="31" t="s">
        <v>2324</v>
      </c>
      <c r="L866" s="31" t="s">
        <v>2325</v>
      </c>
    </row>
    <row r="867" spans="11:12" ht="15" customHeight="1">
      <c r="K867" s="31" t="s">
        <v>2326</v>
      </c>
      <c r="L867" s="31" t="s">
        <v>2327</v>
      </c>
    </row>
    <row r="868" spans="11:12" ht="15" customHeight="1">
      <c r="K868" s="31" t="s">
        <v>2328</v>
      </c>
      <c r="L868" s="31" t="s">
        <v>2329</v>
      </c>
    </row>
    <row r="869" spans="11:12" ht="15" customHeight="1">
      <c r="K869" s="31" t="s">
        <v>2330</v>
      </c>
      <c r="L869" s="31" t="s">
        <v>2331</v>
      </c>
    </row>
    <row r="870" spans="11:12" ht="15" customHeight="1">
      <c r="K870" s="31" t="s">
        <v>2332</v>
      </c>
      <c r="L870" s="31" t="s">
        <v>2333</v>
      </c>
    </row>
    <row r="871" spans="11:12" ht="15" customHeight="1">
      <c r="K871" s="31" t="s">
        <v>2334</v>
      </c>
      <c r="L871" s="31" t="s">
        <v>2335</v>
      </c>
    </row>
    <row r="872" spans="11:12" ht="15" customHeight="1">
      <c r="K872" s="31" t="s">
        <v>2336</v>
      </c>
      <c r="L872" s="31" t="s">
        <v>2337</v>
      </c>
    </row>
    <row r="873" spans="11:12" ht="15" customHeight="1">
      <c r="K873" s="31" t="s">
        <v>2338</v>
      </c>
      <c r="L873" s="31" t="s">
        <v>2339</v>
      </c>
    </row>
    <row r="874" spans="11:12" ht="15" customHeight="1">
      <c r="K874" s="31" t="s">
        <v>2340</v>
      </c>
      <c r="L874" s="31" t="s">
        <v>2341</v>
      </c>
    </row>
    <row r="875" spans="11:12" ht="15" customHeight="1">
      <c r="K875" s="31" t="s">
        <v>2342</v>
      </c>
      <c r="L875" s="31" t="s">
        <v>2343</v>
      </c>
    </row>
    <row r="876" spans="11:12" ht="15" customHeight="1">
      <c r="K876" s="31" t="s">
        <v>2344</v>
      </c>
      <c r="L876" s="31" t="s">
        <v>2345</v>
      </c>
    </row>
    <row r="877" spans="11:12" ht="15" customHeight="1">
      <c r="K877" s="31" t="s">
        <v>2346</v>
      </c>
      <c r="L877" s="31" t="s">
        <v>2347</v>
      </c>
    </row>
    <row r="878" spans="11:12" ht="15" customHeight="1">
      <c r="K878" s="31" t="s">
        <v>2348</v>
      </c>
      <c r="L878" s="31" t="s">
        <v>2349</v>
      </c>
    </row>
    <row r="879" spans="11:12" ht="15" customHeight="1">
      <c r="K879" s="31" t="s">
        <v>2350</v>
      </c>
      <c r="L879" s="31" t="s">
        <v>2351</v>
      </c>
    </row>
    <row r="880" spans="11:12" ht="15" customHeight="1">
      <c r="K880" s="31" t="s">
        <v>2352</v>
      </c>
      <c r="L880" s="31" t="s">
        <v>2353</v>
      </c>
    </row>
    <row r="881" spans="11:12" ht="15" customHeight="1">
      <c r="K881" s="31" t="s">
        <v>2354</v>
      </c>
      <c r="L881" s="31" t="s">
        <v>2355</v>
      </c>
    </row>
    <row r="882" spans="11:12" ht="15" customHeight="1">
      <c r="K882" s="31" t="s">
        <v>2356</v>
      </c>
      <c r="L882" s="31" t="s">
        <v>2357</v>
      </c>
    </row>
    <row r="883" spans="11:12" ht="15" customHeight="1">
      <c r="K883" s="31" t="s">
        <v>2358</v>
      </c>
      <c r="L883" s="31" t="s">
        <v>2359</v>
      </c>
    </row>
    <row r="884" spans="11:12" ht="15" customHeight="1">
      <c r="K884" s="31" t="s">
        <v>2360</v>
      </c>
      <c r="L884" s="31" t="s">
        <v>2361</v>
      </c>
    </row>
    <row r="885" spans="11:12" ht="15" customHeight="1">
      <c r="K885" s="31" t="s">
        <v>2362</v>
      </c>
      <c r="L885" s="31" t="s">
        <v>2363</v>
      </c>
    </row>
    <row r="886" spans="11:12" ht="15" customHeight="1">
      <c r="K886" s="31" t="s">
        <v>2364</v>
      </c>
      <c r="L886" s="31" t="s">
        <v>2365</v>
      </c>
    </row>
    <row r="887" spans="11:12" ht="15" customHeight="1">
      <c r="K887" s="31" t="s">
        <v>2366</v>
      </c>
      <c r="L887" s="31" t="s">
        <v>2367</v>
      </c>
    </row>
    <row r="888" spans="11:12" ht="15" customHeight="1">
      <c r="K888" s="31" t="s">
        <v>2368</v>
      </c>
      <c r="L888" s="31" t="s">
        <v>2369</v>
      </c>
    </row>
    <row r="889" spans="11:12" ht="15" customHeight="1">
      <c r="K889" s="31" t="s">
        <v>2370</v>
      </c>
      <c r="L889" s="31" t="s">
        <v>2371</v>
      </c>
    </row>
    <row r="890" spans="11:12" ht="15" customHeight="1">
      <c r="K890" s="31" t="s">
        <v>2372</v>
      </c>
      <c r="L890" s="31" t="s">
        <v>2373</v>
      </c>
    </row>
    <row r="891" spans="11:12" ht="15" customHeight="1">
      <c r="K891" s="31" t="s">
        <v>2374</v>
      </c>
      <c r="L891" s="31" t="s">
        <v>2375</v>
      </c>
    </row>
    <row r="892" spans="11:12" ht="15" customHeight="1">
      <c r="K892" s="31" t="s">
        <v>2376</v>
      </c>
      <c r="L892" s="31" t="s">
        <v>2377</v>
      </c>
    </row>
    <row r="893" spans="11:12" ht="15" customHeight="1">
      <c r="K893" s="31" t="s">
        <v>2378</v>
      </c>
      <c r="L893" s="31" t="s">
        <v>2379</v>
      </c>
    </row>
    <row r="894" spans="11:12" ht="15" customHeight="1">
      <c r="K894" s="31" t="s">
        <v>2380</v>
      </c>
      <c r="L894" s="31" t="s">
        <v>2381</v>
      </c>
    </row>
    <row r="895" spans="11:12" ht="15" customHeight="1">
      <c r="K895" s="31" t="s">
        <v>2382</v>
      </c>
      <c r="L895" s="31" t="s">
        <v>2383</v>
      </c>
    </row>
    <row r="896" spans="11:12" ht="15" customHeight="1">
      <c r="K896" s="31" t="s">
        <v>2384</v>
      </c>
      <c r="L896" s="31" t="s">
        <v>2385</v>
      </c>
    </row>
    <row r="897" spans="11:12" ht="15" customHeight="1">
      <c r="K897" s="31" t="s">
        <v>2386</v>
      </c>
      <c r="L897" s="31" t="s">
        <v>2387</v>
      </c>
    </row>
    <row r="898" spans="11:12" ht="15" customHeight="1">
      <c r="K898" s="31" t="s">
        <v>2388</v>
      </c>
      <c r="L898" s="31" t="s">
        <v>2389</v>
      </c>
    </row>
    <row r="899" spans="11:12" ht="15" customHeight="1">
      <c r="K899" s="31" t="s">
        <v>2390</v>
      </c>
      <c r="L899" s="31" t="s">
        <v>2391</v>
      </c>
    </row>
    <row r="900" spans="11:12" ht="15" customHeight="1">
      <c r="K900" s="31" t="s">
        <v>2392</v>
      </c>
      <c r="L900" s="31" t="s">
        <v>2393</v>
      </c>
    </row>
    <row r="901" spans="11:12" ht="15" customHeight="1">
      <c r="K901" s="31" t="s">
        <v>2394</v>
      </c>
      <c r="L901" s="31" t="s">
        <v>2395</v>
      </c>
    </row>
    <row r="902" spans="11:12" ht="15" customHeight="1">
      <c r="K902" s="31" t="s">
        <v>2396</v>
      </c>
      <c r="L902" s="31" t="s">
        <v>2397</v>
      </c>
    </row>
    <row r="903" spans="11:12" ht="15" customHeight="1">
      <c r="K903" s="31" t="s">
        <v>2398</v>
      </c>
      <c r="L903" s="31" t="s">
        <v>2399</v>
      </c>
    </row>
    <row r="904" spans="11:12" ht="15" customHeight="1">
      <c r="K904" s="31" t="s">
        <v>2400</v>
      </c>
      <c r="L904" s="31" t="s">
        <v>2401</v>
      </c>
    </row>
    <row r="905" spans="11:12" ht="15" customHeight="1">
      <c r="K905" s="31" t="s">
        <v>2402</v>
      </c>
      <c r="L905" s="31" t="s">
        <v>2403</v>
      </c>
    </row>
    <row r="906" spans="11:12" ht="15" customHeight="1">
      <c r="K906" s="31" t="s">
        <v>2404</v>
      </c>
      <c r="L906" s="31" t="s">
        <v>2405</v>
      </c>
    </row>
    <row r="907" spans="11:12" ht="15" customHeight="1">
      <c r="K907" s="31" t="s">
        <v>2406</v>
      </c>
      <c r="L907" s="31" t="s">
        <v>2407</v>
      </c>
    </row>
    <row r="908" spans="11:12" ht="15" customHeight="1">
      <c r="K908" s="31" t="s">
        <v>2408</v>
      </c>
      <c r="L908" s="31" t="s">
        <v>2409</v>
      </c>
    </row>
    <row r="909" spans="11:12" ht="15" customHeight="1">
      <c r="K909" s="31" t="s">
        <v>2410</v>
      </c>
      <c r="L909" s="31" t="s">
        <v>2411</v>
      </c>
    </row>
    <row r="910" spans="11:12" ht="15" customHeight="1">
      <c r="K910" s="31" t="s">
        <v>2412</v>
      </c>
      <c r="L910" s="31" t="s">
        <v>2413</v>
      </c>
    </row>
    <row r="911" spans="11:12" ht="15" customHeight="1">
      <c r="K911" s="31" t="s">
        <v>2414</v>
      </c>
      <c r="L911" s="31" t="s">
        <v>2415</v>
      </c>
    </row>
    <row r="912" spans="11:12" ht="15" customHeight="1">
      <c r="K912" s="31" t="s">
        <v>2416</v>
      </c>
      <c r="L912" s="31" t="s">
        <v>2417</v>
      </c>
    </row>
    <row r="913" spans="11:12" ht="15" customHeight="1">
      <c r="K913" s="31" t="s">
        <v>2418</v>
      </c>
      <c r="L913" s="31" t="s">
        <v>2419</v>
      </c>
    </row>
    <row r="914" spans="11:12" ht="15" customHeight="1">
      <c r="K914" s="31" t="s">
        <v>2420</v>
      </c>
      <c r="L914" s="31" t="s">
        <v>2421</v>
      </c>
    </row>
    <row r="915" spans="11:12" ht="15" customHeight="1">
      <c r="K915" s="31" t="s">
        <v>2422</v>
      </c>
      <c r="L915" s="31" t="s">
        <v>2423</v>
      </c>
    </row>
    <row r="916" spans="11:12" ht="15" customHeight="1">
      <c r="K916" s="31" t="s">
        <v>2424</v>
      </c>
      <c r="L916" s="31" t="s">
        <v>2425</v>
      </c>
    </row>
    <row r="917" spans="11:12" ht="15" customHeight="1">
      <c r="K917" s="31" t="s">
        <v>2426</v>
      </c>
      <c r="L917" s="31" t="s">
        <v>2427</v>
      </c>
    </row>
    <row r="918" spans="11:12" ht="15" customHeight="1">
      <c r="K918" s="31" t="s">
        <v>2428</v>
      </c>
      <c r="L918" s="31" t="s">
        <v>2429</v>
      </c>
    </row>
    <row r="919" spans="11:12" ht="15" customHeight="1">
      <c r="K919" s="31" t="s">
        <v>2430</v>
      </c>
      <c r="L919" s="31" t="s">
        <v>2431</v>
      </c>
    </row>
    <row r="920" spans="11:12" ht="15" customHeight="1">
      <c r="K920" s="31" t="s">
        <v>2432</v>
      </c>
      <c r="L920" s="31" t="s">
        <v>2433</v>
      </c>
    </row>
    <row r="921" spans="11:12" ht="15" customHeight="1">
      <c r="K921" s="31" t="s">
        <v>2434</v>
      </c>
      <c r="L921" s="31" t="s">
        <v>2435</v>
      </c>
    </row>
    <row r="922" spans="11:12" ht="15" customHeight="1">
      <c r="K922" s="31" t="s">
        <v>2436</v>
      </c>
      <c r="L922" s="31" t="s">
        <v>2437</v>
      </c>
    </row>
    <row r="923" spans="11:12" ht="15" customHeight="1">
      <c r="K923" s="31" t="s">
        <v>2438</v>
      </c>
      <c r="L923" s="31" t="s">
        <v>2439</v>
      </c>
    </row>
    <row r="924" spans="11:12" ht="15" customHeight="1">
      <c r="K924" s="31" t="s">
        <v>2440</v>
      </c>
      <c r="L924" s="31" t="s">
        <v>2441</v>
      </c>
    </row>
    <row r="925" spans="11:12" ht="15" customHeight="1">
      <c r="K925" s="31" t="s">
        <v>2442</v>
      </c>
      <c r="L925" s="31" t="s">
        <v>2443</v>
      </c>
    </row>
    <row r="926" spans="11:12" ht="15" customHeight="1">
      <c r="K926" s="31" t="s">
        <v>2444</v>
      </c>
      <c r="L926" s="31" t="s">
        <v>2445</v>
      </c>
    </row>
    <row r="927" spans="11:12" ht="15" customHeight="1">
      <c r="K927" s="31" t="s">
        <v>2446</v>
      </c>
      <c r="L927" s="31" t="s">
        <v>2447</v>
      </c>
    </row>
    <row r="928" spans="11:12" ht="15" customHeight="1">
      <c r="K928" s="31" t="s">
        <v>2448</v>
      </c>
      <c r="L928" s="31" t="s">
        <v>2449</v>
      </c>
    </row>
    <row r="929" spans="11:12" ht="15" customHeight="1">
      <c r="K929" s="31" t="s">
        <v>2450</v>
      </c>
      <c r="L929" s="31" t="s">
        <v>2451</v>
      </c>
    </row>
    <row r="930" spans="11:12" ht="15" customHeight="1">
      <c r="K930" s="31" t="s">
        <v>2452</v>
      </c>
      <c r="L930" s="31" t="s">
        <v>2453</v>
      </c>
    </row>
    <row r="931" spans="11:12" ht="15" customHeight="1">
      <c r="K931" s="31" t="s">
        <v>2454</v>
      </c>
      <c r="L931" s="31" t="s">
        <v>2455</v>
      </c>
    </row>
    <row r="932" spans="11:12" ht="15" customHeight="1">
      <c r="K932" s="31" t="s">
        <v>2456</v>
      </c>
      <c r="L932" s="31" t="s">
        <v>2457</v>
      </c>
    </row>
    <row r="933" spans="11:12" ht="15" customHeight="1">
      <c r="K933" s="31" t="s">
        <v>2458</v>
      </c>
      <c r="L933" s="31" t="s">
        <v>2459</v>
      </c>
    </row>
    <row r="934" spans="11:12" ht="15" customHeight="1">
      <c r="K934" s="31" t="s">
        <v>2460</v>
      </c>
      <c r="L934" s="31" t="s">
        <v>2461</v>
      </c>
    </row>
    <row r="935" spans="11:12" ht="15" customHeight="1">
      <c r="K935" s="31" t="s">
        <v>2462</v>
      </c>
      <c r="L935" s="31" t="s">
        <v>2463</v>
      </c>
    </row>
    <row r="936" spans="11:12" ht="15" customHeight="1">
      <c r="K936" s="31" t="s">
        <v>2464</v>
      </c>
      <c r="L936" s="31" t="s">
        <v>2465</v>
      </c>
    </row>
    <row r="937" spans="11:12" ht="15" customHeight="1">
      <c r="K937" s="31" t="s">
        <v>2466</v>
      </c>
      <c r="L937" s="31" t="s">
        <v>2467</v>
      </c>
    </row>
    <row r="938" spans="11:12" ht="15" customHeight="1">
      <c r="K938" s="31" t="s">
        <v>2468</v>
      </c>
      <c r="L938" s="31" t="s">
        <v>2469</v>
      </c>
    </row>
    <row r="939" spans="11:12" ht="15" customHeight="1">
      <c r="K939" s="31" t="s">
        <v>2470</v>
      </c>
      <c r="L939" s="31" t="s">
        <v>2471</v>
      </c>
    </row>
    <row r="940" spans="11:12" ht="15" customHeight="1">
      <c r="K940" s="31" t="s">
        <v>2472</v>
      </c>
      <c r="L940" s="31" t="s">
        <v>2473</v>
      </c>
    </row>
    <row r="941" spans="11:12" ht="15" customHeight="1">
      <c r="K941" s="31" t="s">
        <v>2474</v>
      </c>
      <c r="L941" s="31" t="s">
        <v>2475</v>
      </c>
    </row>
    <row r="942" spans="11:12" ht="15" customHeight="1">
      <c r="K942" s="31" t="s">
        <v>2476</v>
      </c>
      <c r="L942" s="31" t="s">
        <v>2477</v>
      </c>
    </row>
    <row r="943" spans="11:12" ht="15" customHeight="1">
      <c r="K943" s="31" t="s">
        <v>2478</v>
      </c>
      <c r="L943" s="31" t="s">
        <v>2479</v>
      </c>
    </row>
    <row r="944" spans="11:12" ht="15" customHeight="1">
      <c r="K944" s="31" t="s">
        <v>2480</v>
      </c>
      <c r="L944" s="31" t="s">
        <v>2481</v>
      </c>
    </row>
    <row r="945" spans="11:12" ht="15" customHeight="1">
      <c r="K945" s="31" t="s">
        <v>2482</v>
      </c>
      <c r="L945" s="31" t="s">
        <v>2483</v>
      </c>
    </row>
    <row r="946" spans="11:12" ht="15" customHeight="1">
      <c r="K946" s="31" t="s">
        <v>2484</v>
      </c>
      <c r="L946" s="31" t="s">
        <v>2485</v>
      </c>
    </row>
    <row r="947" spans="11:12" ht="15" customHeight="1">
      <c r="K947" s="31" t="s">
        <v>2486</v>
      </c>
      <c r="L947" s="31" t="s">
        <v>2487</v>
      </c>
    </row>
    <row r="948" spans="11:12" ht="15" customHeight="1">
      <c r="K948" s="31" t="s">
        <v>2488</v>
      </c>
      <c r="L948" s="31" t="s">
        <v>2489</v>
      </c>
    </row>
    <row r="949" spans="11:12" ht="15" customHeight="1">
      <c r="K949" s="31" t="s">
        <v>2490</v>
      </c>
      <c r="L949" s="31" t="s">
        <v>2491</v>
      </c>
    </row>
    <row r="950" spans="11:12" ht="15" customHeight="1">
      <c r="K950" s="31" t="s">
        <v>2492</v>
      </c>
      <c r="L950" s="31" t="s">
        <v>2493</v>
      </c>
    </row>
    <row r="951" spans="11:12" ht="15" customHeight="1">
      <c r="K951" s="31" t="s">
        <v>2494</v>
      </c>
      <c r="L951" s="31" t="s">
        <v>2495</v>
      </c>
    </row>
    <row r="952" spans="11:12" ht="15" customHeight="1">
      <c r="K952" s="31" t="s">
        <v>2496</v>
      </c>
      <c r="L952" s="31" t="s">
        <v>2497</v>
      </c>
    </row>
    <row r="953" spans="11:12" ht="15" customHeight="1">
      <c r="K953" s="31" t="s">
        <v>2498</v>
      </c>
      <c r="L953" s="31" t="s">
        <v>2499</v>
      </c>
    </row>
    <row r="954" spans="11:12" ht="15" customHeight="1">
      <c r="K954" s="31" t="s">
        <v>2500</v>
      </c>
      <c r="L954" s="31" t="s">
        <v>2501</v>
      </c>
    </row>
    <row r="955" spans="11:12" ht="15" customHeight="1">
      <c r="K955" s="31" t="s">
        <v>2502</v>
      </c>
      <c r="L955" s="31" t="s">
        <v>2503</v>
      </c>
    </row>
    <row r="956" spans="11:12" ht="15" customHeight="1">
      <c r="K956" s="31" t="s">
        <v>2504</v>
      </c>
      <c r="L956" s="31" t="s">
        <v>2505</v>
      </c>
    </row>
    <row r="957" spans="11:12" ht="15" customHeight="1">
      <c r="K957" s="31" t="s">
        <v>2506</v>
      </c>
      <c r="L957" s="31" t="s">
        <v>2507</v>
      </c>
    </row>
    <row r="958" spans="11:12" ht="15" customHeight="1">
      <c r="K958" s="31" t="s">
        <v>2508</v>
      </c>
      <c r="L958" s="31" t="s">
        <v>2509</v>
      </c>
    </row>
    <row r="959" spans="11:12" ht="15" customHeight="1">
      <c r="K959" s="31" t="s">
        <v>2510</v>
      </c>
      <c r="L959" s="31" t="s">
        <v>2511</v>
      </c>
    </row>
    <row r="960" spans="11:12" ht="15" customHeight="1">
      <c r="K960" s="31" t="s">
        <v>2512</v>
      </c>
      <c r="L960" s="31" t="s">
        <v>2513</v>
      </c>
    </row>
    <row r="961" spans="11:12" ht="15" customHeight="1">
      <c r="K961" s="31" t="s">
        <v>2514</v>
      </c>
      <c r="L961" s="31" t="s">
        <v>2515</v>
      </c>
    </row>
    <row r="962" spans="11:12" ht="15" customHeight="1">
      <c r="K962" s="31" t="s">
        <v>2516</v>
      </c>
      <c r="L962" s="31" t="s">
        <v>2517</v>
      </c>
    </row>
    <row r="963" spans="11:12" ht="15" customHeight="1">
      <c r="K963" s="31" t="s">
        <v>2518</v>
      </c>
      <c r="L963" s="31" t="s">
        <v>2519</v>
      </c>
    </row>
    <row r="964" spans="11:12" ht="15" customHeight="1">
      <c r="K964" s="31" t="s">
        <v>2520</v>
      </c>
      <c r="L964" s="31" t="s">
        <v>2521</v>
      </c>
    </row>
    <row r="965" spans="11:12" ht="15" customHeight="1">
      <c r="K965" s="31" t="s">
        <v>2522</v>
      </c>
      <c r="L965" s="31" t="s">
        <v>2523</v>
      </c>
    </row>
    <row r="966" spans="11:12" ht="15" customHeight="1">
      <c r="K966" s="31" t="s">
        <v>2524</v>
      </c>
      <c r="L966" s="31" t="s">
        <v>2525</v>
      </c>
    </row>
    <row r="967" spans="11:12" ht="15" customHeight="1">
      <c r="K967" s="31" t="s">
        <v>2526</v>
      </c>
      <c r="L967" s="31" t="s">
        <v>2527</v>
      </c>
    </row>
    <row r="968" spans="11:12" ht="15" customHeight="1">
      <c r="K968" s="31" t="s">
        <v>2528</v>
      </c>
      <c r="L968" s="31" t="s">
        <v>2529</v>
      </c>
    </row>
    <row r="969" spans="11:12" ht="15" customHeight="1">
      <c r="K969" s="31" t="s">
        <v>2530</v>
      </c>
      <c r="L969" s="31" t="s">
        <v>2531</v>
      </c>
    </row>
    <row r="970" spans="11:12" ht="15" customHeight="1">
      <c r="K970" s="31" t="s">
        <v>2532</v>
      </c>
      <c r="L970" s="31" t="s">
        <v>2533</v>
      </c>
    </row>
    <row r="971" spans="11:12" ht="15" customHeight="1">
      <c r="K971" s="31" t="s">
        <v>2534</v>
      </c>
      <c r="L971" s="31" t="s">
        <v>2535</v>
      </c>
    </row>
    <row r="972" spans="11:12" ht="15" customHeight="1">
      <c r="K972" s="31" t="s">
        <v>2536</v>
      </c>
      <c r="L972" s="31" t="s">
        <v>2537</v>
      </c>
    </row>
    <row r="973" spans="11:12" ht="15" customHeight="1">
      <c r="K973" s="31" t="s">
        <v>2538</v>
      </c>
      <c r="L973" s="31" t="s">
        <v>2539</v>
      </c>
    </row>
    <row r="974" spans="11:12" ht="15" customHeight="1">
      <c r="K974" s="31" t="s">
        <v>2540</v>
      </c>
      <c r="L974" s="31" t="s">
        <v>2541</v>
      </c>
    </row>
    <row r="975" spans="11:12" ht="15" customHeight="1">
      <c r="K975" s="31" t="s">
        <v>2542</v>
      </c>
      <c r="L975" s="31" t="s">
        <v>2543</v>
      </c>
    </row>
    <row r="976" spans="11:12" ht="15" customHeight="1">
      <c r="K976" s="31" t="s">
        <v>2544</v>
      </c>
      <c r="L976" s="31" t="s">
        <v>2545</v>
      </c>
    </row>
    <row r="977" spans="11:12" ht="15" customHeight="1">
      <c r="K977" s="31" t="s">
        <v>2546</v>
      </c>
      <c r="L977" s="31" t="s">
        <v>2547</v>
      </c>
    </row>
    <row r="978" spans="11:12" ht="15" customHeight="1">
      <c r="K978" s="31" t="s">
        <v>2548</v>
      </c>
      <c r="L978" s="31" t="s">
        <v>2549</v>
      </c>
    </row>
    <row r="979" spans="11:12" ht="15" customHeight="1">
      <c r="K979" s="31" t="s">
        <v>2550</v>
      </c>
      <c r="L979" s="31" t="s">
        <v>2551</v>
      </c>
    </row>
    <row r="980" spans="11:12" ht="15" customHeight="1">
      <c r="K980" s="31" t="s">
        <v>2552</v>
      </c>
      <c r="L980" s="31" t="s">
        <v>2553</v>
      </c>
    </row>
    <row r="981" spans="11:12" ht="15" customHeight="1">
      <c r="K981" s="31" t="s">
        <v>2554</v>
      </c>
      <c r="L981" s="31" t="s">
        <v>2555</v>
      </c>
    </row>
    <row r="982" spans="11:12" ht="15" customHeight="1">
      <c r="K982" s="31" t="s">
        <v>2556</v>
      </c>
      <c r="L982" s="31" t="s">
        <v>2557</v>
      </c>
    </row>
    <row r="983" spans="11:12" ht="15" customHeight="1">
      <c r="K983" s="31" t="s">
        <v>2558</v>
      </c>
      <c r="L983" s="31" t="s">
        <v>2559</v>
      </c>
    </row>
    <row r="984" spans="11:12" ht="15" customHeight="1">
      <c r="K984" s="31" t="s">
        <v>2560</v>
      </c>
      <c r="L984" s="31" t="s">
        <v>2561</v>
      </c>
    </row>
    <row r="985" spans="11:12" ht="15" customHeight="1">
      <c r="K985" s="31" t="s">
        <v>2562</v>
      </c>
      <c r="L985" s="31" t="s">
        <v>2563</v>
      </c>
    </row>
    <row r="986" spans="11:12" ht="15" customHeight="1">
      <c r="K986" s="31" t="s">
        <v>2564</v>
      </c>
      <c r="L986" s="31" t="s">
        <v>2565</v>
      </c>
    </row>
    <row r="987" spans="11:12" ht="15" customHeight="1">
      <c r="K987" s="31" t="s">
        <v>2566</v>
      </c>
      <c r="L987" s="31" t="s">
        <v>2567</v>
      </c>
    </row>
    <row r="988" spans="11:12" ht="15" customHeight="1">
      <c r="K988" s="31" t="s">
        <v>2568</v>
      </c>
      <c r="L988" s="31" t="s">
        <v>2569</v>
      </c>
    </row>
    <row r="989" spans="11:12" ht="15" customHeight="1">
      <c r="K989" s="31" t="s">
        <v>2570</v>
      </c>
      <c r="L989" s="31" t="s">
        <v>2571</v>
      </c>
    </row>
    <row r="990" spans="11:12" ht="15" customHeight="1">
      <c r="K990" s="31" t="s">
        <v>2572</v>
      </c>
      <c r="L990" s="31" t="s">
        <v>2573</v>
      </c>
    </row>
    <row r="991" spans="11:12" ht="15" customHeight="1">
      <c r="K991" s="31" t="s">
        <v>2574</v>
      </c>
      <c r="L991" s="31" t="s">
        <v>2575</v>
      </c>
    </row>
    <row r="992" spans="11:12" ht="15" customHeight="1">
      <c r="K992" s="31" t="s">
        <v>2576</v>
      </c>
      <c r="L992" s="31" t="s">
        <v>2577</v>
      </c>
    </row>
    <row r="993" spans="11:12" ht="15" customHeight="1">
      <c r="K993" s="31" t="s">
        <v>2578</v>
      </c>
      <c r="L993" s="31" t="s">
        <v>2579</v>
      </c>
    </row>
    <row r="994" spans="11:12" ht="15" customHeight="1">
      <c r="K994" s="31" t="s">
        <v>2580</v>
      </c>
      <c r="L994" s="31" t="s">
        <v>2581</v>
      </c>
    </row>
    <row r="995" spans="11:12" ht="15" customHeight="1">
      <c r="K995" s="31" t="s">
        <v>2582</v>
      </c>
      <c r="L995" s="31" t="s">
        <v>2583</v>
      </c>
    </row>
    <row r="996" spans="11:12" ht="15" customHeight="1">
      <c r="K996" s="31" t="s">
        <v>2584</v>
      </c>
      <c r="L996" s="31" t="s">
        <v>2585</v>
      </c>
    </row>
    <row r="997" spans="11:12" ht="15" customHeight="1">
      <c r="K997" s="31" t="s">
        <v>2586</v>
      </c>
      <c r="L997" s="31" t="s">
        <v>2587</v>
      </c>
    </row>
    <row r="998" spans="11:12" ht="15" customHeight="1">
      <c r="K998" s="31" t="s">
        <v>2588</v>
      </c>
      <c r="L998" s="31" t="s">
        <v>2589</v>
      </c>
    </row>
    <row r="999" spans="11:12" ht="15" customHeight="1">
      <c r="K999" s="31" t="s">
        <v>2590</v>
      </c>
      <c r="L999" s="31" t="s">
        <v>2591</v>
      </c>
    </row>
    <row r="1000" spans="11:12" ht="15" customHeight="1">
      <c r="K1000" s="31" t="s">
        <v>2592</v>
      </c>
      <c r="L1000" s="31" t="s">
        <v>2593</v>
      </c>
    </row>
    <row r="1001" spans="11:12" ht="15" customHeight="1">
      <c r="K1001" s="31" t="s">
        <v>2594</v>
      </c>
      <c r="L1001" s="31" t="s">
        <v>2595</v>
      </c>
    </row>
  </sheetData>
  <mergeCells count="2">
    <mergeCell ref="A1:B1"/>
    <mergeCell ref="E1:G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124"/>
  <sheetViews>
    <sheetView topLeftCell="H32" zoomScale="85" zoomScaleNormal="85" workbookViewId="0">
      <selection activeCell="M57" sqref="M57"/>
    </sheetView>
  </sheetViews>
  <sheetFormatPr baseColWidth="10" defaultColWidth="14.42578125" defaultRowHeight="15" customHeight="1"/>
  <cols>
    <col min="2" max="2" width="84.42578125" customWidth="1"/>
    <col min="3" max="3" width="27.85546875" bestFit="1" customWidth="1"/>
    <col min="4" max="4" width="35.85546875" customWidth="1"/>
    <col min="5" max="5" width="28.42578125" customWidth="1"/>
    <col min="6" max="6" width="27.85546875" bestFit="1" customWidth="1"/>
    <col min="7" max="7" width="35.85546875" customWidth="1"/>
    <col min="8" max="8" width="28.42578125" customWidth="1"/>
    <col min="10" max="10" width="49.85546875" customWidth="1"/>
    <col min="13" max="13" width="27.42578125" customWidth="1"/>
    <col min="16" max="16" width="28.85546875" customWidth="1"/>
    <col min="19" max="19" width="25.28515625" customWidth="1"/>
    <col min="20" max="20" width="38.42578125" customWidth="1"/>
  </cols>
  <sheetData>
    <row r="1" spans="1:20">
      <c r="A1" s="32" t="s">
        <v>2596</v>
      </c>
      <c r="B1" s="32" t="s">
        <v>2597</v>
      </c>
      <c r="C1" s="33" t="s">
        <v>2598</v>
      </c>
      <c r="D1" s="33" t="s">
        <v>55</v>
      </c>
      <c r="E1" s="33" t="s">
        <v>2599</v>
      </c>
      <c r="F1" s="33" t="s">
        <v>2598</v>
      </c>
      <c r="G1" s="33" t="s">
        <v>55</v>
      </c>
      <c r="H1" s="186"/>
      <c r="J1" s="34" t="s">
        <v>2600</v>
      </c>
      <c r="K1" s="35"/>
      <c r="L1" s="35"/>
      <c r="M1" s="34" t="s">
        <v>2601</v>
      </c>
      <c r="N1" s="35"/>
      <c r="O1" s="35"/>
      <c r="P1" s="34" t="s">
        <v>2602</v>
      </c>
      <c r="Q1" s="35"/>
      <c r="S1" s="197" t="s">
        <v>4552</v>
      </c>
      <c r="T1" s="197"/>
    </row>
    <row r="2" spans="1:20">
      <c r="A2" s="36" t="s">
        <v>2603</v>
      </c>
      <c r="B2" s="36" t="s">
        <v>2604</v>
      </c>
      <c r="C2" s="37"/>
      <c r="D2" s="37"/>
      <c r="E2" s="37"/>
      <c r="F2" s="37"/>
      <c r="G2" s="37"/>
      <c r="J2" s="38" t="s">
        <v>2605</v>
      </c>
      <c r="K2" s="39" t="s">
        <v>2606</v>
      </c>
      <c r="L2" s="35"/>
      <c r="M2" s="38" t="s">
        <v>2605</v>
      </c>
      <c r="N2" s="39" t="s">
        <v>2606</v>
      </c>
      <c r="O2" s="35"/>
      <c r="P2" s="38" t="s">
        <v>2605</v>
      </c>
      <c r="Q2" s="39" t="s">
        <v>2606</v>
      </c>
      <c r="S2" s="197"/>
      <c r="T2" s="197"/>
    </row>
    <row r="3" spans="1:20">
      <c r="A3" s="36" t="s">
        <v>2607</v>
      </c>
      <c r="B3" s="36" t="s">
        <v>2608</v>
      </c>
      <c r="C3" s="37"/>
      <c r="D3" s="37"/>
      <c r="E3" s="37"/>
      <c r="F3" s="37"/>
      <c r="G3" s="37"/>
      <c r="H3" s="35"/>
      <c r="J3" s="40" t="s">
        <v>2609</v>
      </c>
      <c r="K3" s="41" t="s">
        <v>2610</v>
      </c>
      <c r="L3" s="35"/>
      <c r="M3" s="40" t="s">
        <v>2611</v>
      </c>
      <c r="N3" s="42" t="s">
        <v>2612</v>
      </c>
      <c r="O3" s="35"/>
      <c r="P3" s="40" t="s">
        <v>2613</v>
      </c>
      <c r="Q3" s="41" t="s">
        <v>2614</v>
      </c>
    </row>
    <row r="4" spans="1:20">
      <c r="A4" s="36" t="s">
        <v>62</v>
      </c>
      <c r="B4" s="36" t="s">
        <v>2615</v>
      </c>
      <c r="C4" s="37" t="s">
        <v>2616</v>
      </c>
      <c r="D4" s="37" t="s">
        <v>2617</v>
      </c>
      <c r="E4" s="37"/>
      <c r="F4" s="37" t="s">
        <v>2616</v>
      </c>
      <c r="G4" s="37" t="s">
        <v>2617</v>
      </c>
      <c r="H4" s="35"/>
      <c r="J4" s="40" t="s">
        <v>2618</v>
      </c>
      <c r="K4" s="41" t="s">
        <v>2619</v>
      </c>
      <c r="L4" s="35"/>
      <c r="M4" s="40" t="s">
        <v>2613</v>
      </c>
      <c r="N4" s="41" t="s">
        <v>2614</v>
      </c>
      <c r="O4" s="35"/>
      <c r="P4" s="40" t="s">
        <v>2609</v>
      </c>
      <c r="Q4" s="41" t="s">
        <v>2610</v>
      </c>
      <c r="S4" s="198" t="s">
        <v>4479</v>
      </c>
      <c r="T4" s="199"/>
    </row>
    <row r="5" spans="1:20">
      <c r="A5" s="36" t="s">
        <v>70</v>
      </c>
      <c r="B5" s="36" t="s">
        <v>2620</v>
      </c>
      <c r="C5" s="37" t="s">
        <v>2616</v>
      </c>
      <c r="D5" s="37" t="s">
        <v>2617</v>
      </c>
      <c r="E5" s="37"/>
      <c r="F5" s="37" t="s">
        <v>2616</v>
      </c>
      <c r="G5" s="37" t="s">
        <v>2617</v>
      </c>
      <c r="H5" s="35"/>
      <c r="J5" s="40" t="s">
        <v>2621</v>
      </c>
      <c r="K5" s="41" t="s">
        <v>2622</v>
      </c>
      <c r="L5" s="35"/>
      <c r="M5" s="40" t="s">
        <v>2623</v>
      </c>
      <c r="N5" s="41" t="s">
        <v>2624</v>
      </c>
      <c r="O5" s="35"/>
      <c r="P5" s="40" t="s">
        <v>2618</v>
      </c>
      <c r="Q5" s="41" t="s">
        <v>2619</v>
      </c>
      <c r="S5" s="182" t="s">
        <v>4475</v>
      </c>
      <c r="T5" s="184" t="s">
        <v>4553</v>
      </c>
    </row>
    <row r="6" spans="1:20">
      <c r="A6" s="36" t="s">
        <v>78</v>
      </c>
      <c r="B6" s="36" t="s">
        <v>2625</v>
      </c>
      <c r="C6" s="37" t="s">
        <v>2616</v>
      </c>
      <c r="D6" s="37" t="s">
        <v>2617</v>
      </c>
      <c r="E6" s="37"/>
      <c r="F6" s="37" t="s">
        <v>2616</v>
      </c>
      <c r="G6" s="37" t="s">
        <v>2617</v>
      </c>
      <c r="H6" s="35"/>
      <c r="J6" s="41" t="s">
        <v>2626</v>
      </c>
      <c r="K6" s="41" t="s">
        <v>2627</v>
      </c>
      <c r="L6" s="35"/>
      <c r="M6" s="41" t="s">
        <v>2628</v>
      </c>
      <c r="N6" s="41" t="s">
        <v>2629</v>
      </c>
      <c r="O6" s="35"/>
      <c r="P6" s="40" t="s">
        <v>2621</v>
      </c>
      <c r="Q6" s="41" t="s">
        <v>2622</v>
      </c>
      <c r="S6" s="183"/>
      <c r="T6" s="185"/>
    </row>
    <row r="7" spans="1:20">
      <c r="A7" s="36" t="s">
        <v>84</v>
      </c>
      <c r="B7" s="36" t="s">
        <v>2630</v>
      </c>
      <c r="C7" s="37" t="s">
        <v>2616</v>
      </c>
      <c r="D7" s="37" t="s">
        <v>2617</v>
      </c>
      <c r="E7" s="37"/>
      <c r="F7" s="37" t="s">
        <v>2616</v>
      </c>
      <c r="G7" s="37" t="s">
        <v>2617</v>
      </c>
      <c r="H7" s="35"/>
      <c r="J7" s="40" t="s">
        <v>2631</v>
      </c>
      <c r="K7" s="41" t="s">
        <v>2586</v>
      </c>
      <c r="L7" s="35"/>
      <c r="M7" s="41" t="s">
        <v>2632</v>
      </c>
      <c r="N7" s="41" t="s">
        <v>2633</v>
      </c>
      <c r="O7" s="35"/>
      <c r="P7" s="41" t="s">
        <v>2628</v>
      </c>
      <c r="Q7" s="41" t="s">
        <v>2629</v>
      </c>
    </row>
    <row r="8" spans="1:20">
      <c r="A8" s="36" t="s">
        <v>89</v>
      </c>
      <c r="B8" s="36" t="s">
        <v>2634</v>
      </c>
      <c r="C8" s="37" t="s">
        <v>2616</v>
      </c>
      <c r="D8" s="37" t="s">
        <v>2617</v>
      </c>
      <c r="E8" s="37"/>
      <c r="F8" s="37" t="s">
        <v>2616</v>
      </c>
      <c r="G8" s="37" t="s">
        <v>2617</v>
      </c>
      <c r="H8" s="35"/>
      <c r="J8" s="40" t="s">
        <v>2635</v>
      </c>
      <c r="K8" s="41" t="s">
        <v>2636</v>
      </c>
      <c r="L8" s="35"/>
      <c r="M8" s="40" t="s">
        <v>2637</v>
      </c>
      <c r="N8" s="41" t="s">
        <v>2638</v>
      </c>
      <c r="O8" s="35"/>
      <c r="P8" s="41" t="s">
        <v>2639</v>
      </c>
      <c r="Q8" s="41" t="s">
        <v>2640</v>
      </c>
    </row>
    <row r="9" spans="1:20">
      <c r="A9" s="36" t="s">
        <v>94</v>
      </c>
      <c r="B9" s="36" t="s">
        <v>2641</v>
      </c>
      <c r="C9" s="37" t="s">
        <v>2616</v>
      </c>
      <c r="D9" s="37" t="s">
        <v>2617</v>
      </c>
      <c r="E9" s="37"/>
      <c r="F9" s="37" t="s">
        <v>2616</v>
      </c>
      <c r="G9" s="37" t="s">
        <v>2617</v>
      </c>
      <c r="H9" s="35"/>
      <c r="J9" s="40" t="s">
        <v>2642</v>
      </c>
      <c r="K9" s="41" t="s">
        <v>2643</v>
      </c>
      <c r="L9" s="35"/>
      <c r="M9" s="40" t="s">
        <v>2644</v>
      </c>
      <c r="N9" s="41" t="s">
        <v>2645</v>
      </c>
      <c r="O9" s="35"/>
      <c r="P9" s="41" t="s">
        <v>2626</v>
      </c>
      <c r="Q9" s="41" t="s">
        <v>2627</v>
      </c>
    </row>
    <row r="10" spans="1:20">
      <c r="A10" s="36" t="s">
        <v>99</v>
      </c>
      <c r="B10" s="36" t="s">
        <v>2646</v>
      </c>
      <c r="C10" s="37" t="s">
        <v>2616</v>
      </c>
      <c r="D10" s="37" t="s">
        <v>2617</v>
      </c>
      <c r="E10" s="37"/>
      <c r="F10" s="37" t="s">
        <v>2616</v>
      </c>
      <c r="G10" s="37" t="s">
        <v>2617</v>
      </c>
      <c r="H10" s="35"/>
      <c r="J10" s="40" t="s">
        <v>2647</v>
      </c>
      <c r="K10" s="41" t="s">
        <v>2648</v>
      </c>
      <c r="L10" s="35"/>
      <c r="M10" s="40" t="s">
        <v>2649</v>
      </c>
      <c r="N10" s="41" t="s">
        <v>2650</v>
      </c>
      <c r="O10" s="35"/>
      <c r="P10" s="40" t="s">
        <v>2637</v>
      </c>
      <c r="Q10" s="41" t="s">
        <v>2638</v>
      </c>
    </row>
    <row r="11" spans="1:20">
      <c r="A11" s="36" t="s">
        <v>104</v>
      </c>
      <c r="B11" s="36" t="s">
        <v>2651</v>
      </c>
      <c r="C11" s="37" t="s">
        <v>2616</v>
      </c>
      <c r="D11" s="37" t="s">
        <v>2617</v>
      </c>
      <c r="E11" s="37"/>
      <c r="F11" s="37" t="s">
        <v>2616</v>
      </c>
      <c r="G11" s="37" t="s">
        <v>2617</v>
      </c>
      <c r="H11" s="35"/>
      <c r="J11" s="40" t="s">
        <v>2652</v>
      </c>
      <c r="K11" s="41" t="s">
        <v>2653</v>
      </c>
      <c r="L11" s="35"/>
      <c r="M11" s="40" t="s">
        <v>2654</v>
      </c>
      <c r="N11" s="41" t="s">
        <v>2655</v>
      </c>
      <c r="O11" s="35"/>
      <c r="P11" s="40" t="s">
        <v>2644</v>
      </c>
      <c r="Q11" s="41" t="s">
        <v>2645</v>
      </c>
    </row>
    <row r="12" spans="1:20">
      <c r="A12" s="36" t="s">
        <v>109</v>
      </c>
      <c r="B12" s="36" t="s">
        <v>2656</v>
      </c>
      <c r="C12" s="37" t="s">
        <v>2616</v>
      </c>
      <c r="D12" s="37" t="s">
        <v>2617</v>
      </c>
      <c r="E12" s="37"/>
      <c r="F12" s="37" t="s">
        <v>2616</v>
      </c>
      <c r="G12" s="37" t="s">
        <v>2617</v>
      </c>
      <c r="H12" s="35"/>
      <c r="J12" s="40" t="s">
        <v>2657</v>
      </c>
      <c r="K12" s="41" t="s">
        <v>2658</v>
      </c>
      <c r="L12" s="35"/>
      <c r="M12" s="40" t="s">
        <v>2659</v>
      </c>
      <c r="N12" s="41" t="s">
        <v>2660</v>
      </c>
      <c r="O12" s="35"/>
      <c r="P12" s="40" t="s">
        <v>2661</v>
      </c>
      <c r="Q12" s="41" t="s">
        <v>2662</v>
      </c>
    </row>
    <row r="13" spans="1:20">
      <c r="A13" s="36" t="s">
        <v>114</v>
      </c>
      <c r="B13" s="36" t="s">
        <v>2663</v>
      </c>
      <c r="C13" s="37" t="s">
        <v>2616</v>
      </c>
      <c r="D13" s="37" t="s">
        <v>2617</v>
      </c>
      <c r="E13" s="37"/>
      <c r="F13" s="37" t="s">
        <v>2616</v>
      </c>
      <c r="G13" s="37" t="s">
        <v>2617</v>
      </c>
      <c r="H13" s="35"/>
      <c r="J13" s="40" t="s">
        <v>2664</v>
      </c>
      <c r="K13" s="41" t="s">
        <v>2665</v>
      </c>
      <c r="L13" s="35"/>
      <c r="M13" s="40" t="s">
        <v>2666</v>
      </c>
      <c r="N13" s="41" t="s">
        <v>2254</v>
      </c>
      <c r="O13" s="35"/>
      <c r="P13" s="40" t="s">
        <v>2667</v>
      </c>
      <c r="Q13" s="41" t="s">
        <v>2668</v>
      </c>
    </row>
    <row r="14" spans="1:20">
      <c r="A14" s="36" t="s">
        <v>118</v>
      </c>
      <c r="B14" s="36" t="s">
        <v>2669</v>
      </c>
      <c r="C14" s="37" t="s">
        <v>2616</v>
      </c>
      <c r="D14" s="37" t="s">
        <v>2617</v>
      </c>
      <c r="E14" s="37"/>
      <c r="F14" s="37" t="s">
        <v>2616</v>
      </c>
      <c r="G14" s="37" t="s">
        <v>2617</v>
      </c>
      <c r="H14" s="35"/>
      <c r="J14" s="41" t="s">
        <v>2670</v>
      </c>
      <c r="K14" s="41" t="s">
        <v>2538</v>
      </c>
      <c r="L14" s="35"/>
      <c r="M14" s="40" t="s">
        <v>2671</v>
      </c>
      <c r="N14" s="41" t="s">
        <v>2672</v>
      </c>
      <c r="O14" s="35"/>
      <c r="P14" s="40" t="s">
        <v>2673</v>
      </c>
      <c r="Q14" s="41" t="s">
        <v>2674</v>
      </c>
    </row>
    <row r="15" spans="1:20">
      <c r="A15" s="36" t="s">
        <v>123</v>
      </c>
      <c r="B15" s="36" t="s">
        <v>2675</v>
      </c>
      <c r="C15" s="37" t="s">
        <v>2616</v>
      </c>
      <c r="D15" s="37" t="s">
        <v>2617</v>
      </c>
      <c r="E15" s="37"/>
      <c r="F15" s="37" t="s">
        <v>2616</v>
      </c>
      <c r="G15" s="37" t="s">
        <v>2617</v>
      </c>
      <c r="H15" s="35"/>
      <c r="J15" s="35"/>
      <c r="K15" s="35"/>
      <c r="L15" s="35"/>
      <c r="M15" s="40" t="s">
        <v>2676</v>
      </c>
      <c r="N15" s="41" t="s">
        <v>2677</v>
      </c>
      <c r="O15" s="35"/>
      <c r="P15" s="40" t="s">
        <v>2678</v>
      </c>
      <c r="Q15" s="41" t="s">
        <v>2679</v>
      </c>
    </row>
    <row r="16" spans="1:20">
      <c r="A16" s="36" t="s">
        <v>128</v>
      </c>
      <c r="B16" s="36" t="s">
        <v>2680</v>
      </c>
      <c r="C16" s="37" t="s">
        <v>2616</v>
      </c>
      <c r="D16" s="37" t="s">
        <v>2617</v>
      </c>
      <c r="E16" s="37"/>
      <c r="F16" s="37" t="s">
        <v>2616</v>
      </c>
      <c r="G16" s="37" t="s">
        <v>2617</v>
      </c>
      <c r="H16" s="35"/>
      <c r="J16" s="35"/>
      <c r="K16" s="35"/>
      <c r="L16" s="35"/>
      <c r="M16" s="40" t="s">
        <v>2681</v>
      </c>
      <c r="N16" s="41" t="s">
        <v>2486</v>
      </c>
      <c r="O16" s="35"/>
      <c r="P16" s="40" t="s">
        <v>2682</v>
      </c>
      <c r="Q16" s="41" t="s">
        <v>2683</v>
      </c>
    </row>
    <row r="17" spans="1:17">
      <c r="A17" s="36" t="s">
        <v>133</v>
      </c>
      <c r="B17" s="36" t="s">
        <v>2684</v>
      </c>
      <c r="C17" s="37" t="s">
        <v>2616</v>
      </c>
      <c r="D17" s="37" t="s">
        <v>2617</v>
      </c>
      <c r="E17" s="37"/>
      <c r="F17" s="37" t="s">
        <v>2616</v>
      </c>
      <c r="G17" s="37" t="s">
        <v>2617</v>
      </c>
      <c r="H17" s="35"/>
      <c r="J17" s="35"/>
      <c r="K17" s="35"/>
      <c r="L17" s="35"/>
      <c r="M17" s="40" t="s">
        <v>2685</v>
      </c>
      <c r="N17" s="41" t="s">
        <v>2686</v>
      </c>
      <c r="O17" s="35"/>
      <c r="P17" s="40" t="s">
        <v>2687</v>
      </c>
      <c r="Q17" s="41" t="s">
        <v>2688</v>
      </c>
    </row>
    <row r="18" spans="1:17">
      <c r="A18" s="36" t="s">
        <v>138</v>
      </c>
      <c r="B18" s="36" t="s">
        <v>2689</v>
      </c>
      <c r="C18" s="37" t="s">
        <v>2616</v>
      </c>
      <c r="D18" s="37" t="s">
        <v>2617</v>
      </c>
      <c r="E18" s="37"/>
      <c r="F18" s="37" t="s">
        <v>2616</v>
      </c>
      <c r="G18" s="37" t="s">
        <v>2617</v>
      </c>
      <c r="H18" s="35"/>
      <c r="J18" s="35"/>
      <c r="K18" s="35"/>
      <c r="L18" s="35"/>
      <c r="M18" s="40" t="s">
        <v>2690</v>
      </c>
      <c r="N18" s="41" t="s">
        <v>2691</v>
      </c>
      <c r="O18" s="35"/>
      <c r="P18" s="40" t="s">
        <v>2692</v>
      </c>
      <c r="Q18" s="41" t="s">
        <v>2693</v>
      </c>
    </row>
    <row r="19" spans="1:17">
      <c r="A19" s="36" t="s">
        <v>143</v>
      </c>
      <c r="B19" s="36" t="s">
        <v>2694</v>
      </c>
      <c r="C19" s="37" t="s">
        <v>2616</v>
      </c>
      <c r="D19" s="37" t="s">
        <v>2617</v>
      </c>
      <c r="E19" s="37"/>
      <c r="F19" s="37" t="s">
        <v>2616</v>
      </c>
      <c r="G19" s="37" t="s">
        <v>2617</v>
      </c>
      <c r="H19" s="35"/>
      <c r="J19" s="35"/>
      <c r="K19" s="35"/>
      <c r="L19" s="35"/>
      <c r="M19" s="40" t="s">
        <v>2695</v>
      </c>
      <c r="N19" s="41" t="s">
        <v>2696</v>
      </c>
      <c r="O19" s="35"/>
      <c r="P19" s="40" t="s">
        <v>2697</v>
      </c>
      <c r="Q19" s="41" t="s">
        <v>2698</v>
      </c>
    </row>
    <row r="20" spans="1:17">
      <c r="A20" s="36" t="s">
        <v>148</v>
      </c>
      <c r="B20" s="36" t="s">
        <v>2699</v>
      </c>
      <c r="C20" s="37" t="s">
        <v>2616</v>
      </c>
      <c r="D20" s="37" t="s">
        <v>2617</v>
      </c>
      <c r="E20" s="37"/>
      <c r="F20" s="37" t="s">
        <v>2616</v>
      </c>
      <c r="G20" s="37" t="s">
        <v>2617</v>
      </c>
      <c r="H20" s="35"/>
      <c r="J20" s="35"/>
      <c r="K20" s="35"/>
      <c r="L20" s="35"/>
      <c r="M20" s="40" t="s">
        <v>2700</v>
      </c>
      <c r="N20" s="41" t="s">
        <v>2701</v>
      </c>
      <c r="O20" s="35"/>
      <c r="P20" s="40" t="s">
        <v>2702</v>
      </c>
      <c r="Q20" s="41" t="s">
        <v>2703</v>
      </c>
    </row>
    <row r="21" spans="1:17">
      <c r="A21" s="36" t="s">
        <v>153</v>
      </c>
      <c r="B21" s="36" t="s">
        <v>2704</v>
      </c>
      <c r="C21" s="37" t="s">
        <v>2705</v>
      </c>
      <c r="D21" s="37" t="s">
        <v>2706</v>
      </c>
      <c r="E21" s="37"/>
      <c r="F21" s="37" t="s">
        <v>2705</v>
      </c>
      <c r="G21" s="37" t="s">
        <v>2706</v>
      </c>
      <c r="H21" s="35"/>
      <c r="J21" s="35"/>
      <c r="K21" s="35"/>
      <c r="L21" s="35"/>
      <c r="M21" s="40" t="s">
        <v>2707</v>
      </c>
      <c r="N21" s="41" t="s">
        <v>2708</v>
      </c>
      <c r="O21" s="35"/>
      <c r="P21" s="40" t="s">
        <v>2702</v>
      </c>
      <c r="Q21" s="41" t="s">
        <v>2703</v>
      </c>
    </row>
    <row r="22" spans="1:17">
      <c r="A22" s="36" t="s">
        <v>158</v>
      </c>
      <c r="B22" s="36" t="s">
        <v>2709</v>
      </c>
      <c r="C22" s="37" t="s">
        <v>2616</v>
      </c>
      <c r="D22" s="37" t="s">
        <v>2617</v>
      </c>
      <c r="E22" s="37"/>
      <c r="F22" s="37" t="s">
        <v>2616</v>
      </c>
      <c r="G22" s="37" t="s">
        <v>2617</v>
      </c>
      <c r="H22" s="35"/>
      <c r="J22" s="35"/>
      <c r="K22" s="35"/>
      <c r="L22" s="35"/>
      <c r="M22" s="40" t="s">
        <v>2710</v>
      </c>
      <c r="N22" s="41" t="s">
        <v>2711</v>
      </c>
      <c r="O22" s="35"/>
      <c r="P22" s="40" t="s">
        <v>2712</v>
      </c>
      <c r="Q22" s="41" t="s">
        <v>2713</v>
      </c>
    </row>
    <row r="23" spans="1:17">
      <c r="A23" s="36" t="s">
        <v>163</v>
      </c>
      <c r="B23" s="36" t="s">
        <v>2714</v>
      </c>
      <c r="C23" s="37" t="s">
        <v>2616</v>
      </c>
      <c r="D23" s="37" t="s">
        <v>2617</v>
      </c>
      <c r="E23" s="37"/>
      <c r="F23" s="37" t="s">
        <v>2616</v>
      </c>
      <c r="G23" s="37" t="s">
        <v>2617</v>
      </c>
      <c r="H23" s="35"/>
      <c r="J23" s="35"/>
      <c r="K23" s="35"/>
      <c r="L23" s="35"/>
      <c r="M23" s="40" t="s">
        <v>2715</v>
      </c>
      <c r="N23" s="41" t="s">
        <v>2716</v>
      </c>
      <c r="O23" s="35"/>
      <c r="P23" s="40" t="s">
        <v>2717</v>
      </c>
      <c r="Q23" s="41" t="s">
        <v>2718</v>
      </c>
    </row>
    <row r="24" spans="1:17">
      <c r="A24" s="36" t="s">
        <v>168</v>
      </c>
      <c r="B24" s="36" t="s">
        <v>2719</v>
      </c>
      <c r="C24" s="37" t="s">
        <v>2705</v>
      </c>
      <c r="D24" s="37" t="s">
        <v>2706</v>
      </c>
      <c r="E24" s="37"/>
      <c r="F24" s="37" t="s">
        <v>2705</v>
      </c>
      <c r="G24" s="37" t="s">
        <v>2706</v>
      </c>
      <c r="H24" s="35"/>
      <c r="J24" s="35"/>
      <c r="K24" s="35"/>
      <c r="L24" s="35"/>
      <c r="M24" s="40" t="s">
        <v>2720</v>
      </c>
      <c r="N24" s="41" t="s">
        <v>2721</v>
      </c>
      <c r="O24" s="35"/>
      <c r="P24" s="40" t="s">
        <v>2649</v>
      </c>
      <c r="Q24" s="41" t="s">
        <v>2650</v>
      </c>
    </row>
    <row r="25" spans="1:17">
      <c r="A25" s="36" t="s">
        <v>2722</v>
      </c>
      <c r="B25" s="36" t="s">
        <v>2723</v>
      </c>
      <c r="C25" s="37"/>
      <c r="D25" s="37"/>
      <c r="E25" s="37"/>
      <c r="F25" s="37"/>
      <c r="G25" s="37"/>
      <c r="H25" s="35"/>
      <c r="J25" s="35"/>
      <c r="K25" s="35"/>
      <c r="L25" s="35"/>
      <c r="M25" s="40" t="s">
        <v>2724</v>
      </c>
      <c r="N25" s="41" t="s">
        <v>2725</v>
      </c>
      <c r="O25" s="35"/>
      <c r="P25" s="40" t="s">
        <v>2726</v>
      </c>
      <c r="Q25" s="41" t="s">
        <v>2727</v>
      </c>
    </row>
    <row r="26" spans="1:17">
      <c r="A26" s="36" t="s">
        <v>173</v>
      </c>
      <c r="B26" s="36" t="s">
        <v>2728</v>
      </c>
      <c r="C26" s="37" t="s">
        <v>2729</v>
      </c>
      <c r="D26" s="37" t="s">
        <v>2730</v>
      </c>
      <c r="E26" s="37"/>
      <c r="F26" s="37" t="s">
        <v>2729</v>
      </c>
      <c r="G26" s="37" t="s">
        <v>2730</v>
      </c>
      <c r="H26" s="35"/>
      <c r="J26" s="35"/>
      <c r="K26" s="35"/>
      <c r="L26" s="35"/>
      <c r="M26" s="40" t="s">
        <v>2731</v>
      </c>
      <c r="N26" s="41" t="s">
        <v>2732</v>
      </c>
      <c r="O26" s="35"/>
      <c r="P26" s="40" t="s">
        <v>2733</v>
      </c>
      <c r="Q26" s="41" t="s">
        <v>2734</v>
      </c>
    </row>
    <row r="27" spans="1:17">
      <c r="A27" s="36" t="s">
        <v>177</v>
      </c>
      <c r="B27" s="36" t="s">
        <v>2735</v>
      </c>
      <c r="C27" s="37" t="s">
        <v>2729</v>
      </c>
      <c r="D27" s="37" t="s">
        <v>2730</v>
      </c>
      <c r="E27" s="37"/>
      <c r="F27" s="37" t="s">
        <v>2729</v>
      </c>
      <c r="G27" s="37" t="s">
        <v>2730</v>
      </c>
      <c r="H27" s="35"/>
      <c r="J27" s="35"/>
      <c r="K27" s="35"/>
      <c r="L27" s="35"/>
      <c r="M27" s="40" t="s">
        <v>2736</v>
      </c>
      <c r="N27" s="41" t="s">
        <v>2737</v>
      </c>
      <c r="O27" s="35"/>
      <c r="P27" s="40" t="s">
        <v>2738</v>
      </c>
      <c r="Q27" s="41" t="s">
        <v>2739</v>
      </c>
    </row>
    <row r="28" spans="1:17">
      <c r="A28" s="36" t="s">
        <v>182</v>
      </c>
      <c r="B28" s="36" t="s">
        <v>2740</v>
      </c>
      <c r="C28" s="37" t="s">
        <v>2729</v>
      </c>
      <c r="D28" s="37" t="s">
        <v>2730</v>
      </c>
      <c r="E28" s="37"/>
      <c r="F28" s="37" t="s">
        <v>2729</v>
      </c>
      <c r="G28" s="37" t="s">
        <v>2730</v>
      </c>
      <c r="H28" s="35"/>
      <c r="J28" s="35"/>
      <c r="K28" s="35"/>
      <c r="L28" s="35"/>
      <c r="M28" s="40" t="s">
        <v>2741</v>
      </c>
      <c r="N28" s="41" t="s">
        <v>2742</v>
      </c>
      <c r="O28" s="35"/>
      <c r="P28" s="40" t="s">
        <v>2743</v>
      </c>
      <c r="Q28" s="41" t="s">
        <v>2744</v>
      </c>
    </row>
    <row r="29" spans="1:17">
      <c r="A29" s="36" t="s">
        <v>187</v>
      </c>
      <c r="B29" s="36" t="s">
        <v>2745</v>
      </c>
      <c r="C29" s="37" t="s">
        <v>2729</v>
      </c>
      <c r="D29" s="37" t="s">
        <v>2730</v>
      </c>
      <c r="E29" s="37"/>
      <c r="F29" s="37" t="s">
        <v>2729</v>
      </c>
      <c r="G29" s="37" t="s">
        <v>2730</v>
      </c>
      <c r="H29" s="35"/>
      <c r="J29" s="35"/>
      <c r="K29" s="35"/>
      <c r="L29" s="35"/>
      <c r="M29" s="40" t="s">
        <v>2746</v>
      </c>
      <c r="N29" s="41" t="s">
        <v>2747</v>
      </c>
      <c r="O29" s="35"/>
      <c r="P29" s="40" t="s">
        <v>2748</v>
      </c>
      <c r="Q29" s="41" t="s">
        <v>2749</v>
      </c>
    </row>
    <row r="30" spans="1:17">
      <c r="A30" s="36" t="s">
        <v>192</v>
      </c>
      <c r="B30" s="36" t="s">
        <v>2750</v>
      </c>
      <c r="C30" s="37" t="s">
        <v>2729</v>
      </c>
      <c r="D30" s="37" t="s">
        <v>2730</v>
      </c>
      <c r="E30" s="37"/>
      <c r="F30" s="37" t="s">
        <v>2729</v>
      </c>
      <c r="G30" s="37" t="s">
        <v>2730</v>
      </c>
      <c r="H30" s="35"/>
      <c r="J30" s="35"/>
      <c r="K30" s="35"/>
      <c r="L30" s="35"/>
      <c r="M30" s="40" t="s">
        <v>2751</v>
      </c>
      <c r="N30" s="41" t="s">
        <v>2752</v>
      </c>
      <c r="O30" s="35"/>
      <c r="P30" s="40" t="s">
        <v>2753</v>
      </c>
      <c r="Q30" s="41" t="s">
        <v>2754</v>
      </c>
    </row>
    <row r="31" spans="1:17">
      <c r="A31" s="36" t="s">
        <v>197</v>
      </c>
      <c r="B31" s="36" t="s">
        <v>2755</v>
      </c>
      <c r="C31" s="37" t="s">
        <v>2729</v>
      </c>
      <c r="D31" s="37" t="s">
        <v>2730</v>
      </c>
      <c r="E31" s="37"/>
      <c r="F31" s="37" t="s">
        <v>2729</v>
      </c>
      <c r="G31" s="37" t="s">
        <v>2730</v>
      </c>
      <c r="H31" s="35"/>
      <c r="J31" s="35"/>
      <c r="K31" s="35"/>
      <c r="L31" s="35"/>
      <c r="M31" s="40" t="s">
        <v>2756</v>
      </c>
      <c r="N31" s="41" t="s">
        <v>2757</v>
      </c>
      <c r="O31" s="35"/>
      <c r="P31" s="40" t="s">
        <v>2758</v>
      </c>
      <c r="Q31" s="41" t="s">
        <v>2759</v>
      </c>
    </row>
    <row r="32" spans="1:17">
      <c r="A32" s="36" t="s">
        <v>202</v>
      </c>
      <c r="B32" s="36" t="s">
        <v>2760</v>
      </c>
      <c r="C32" s="37" t="s">
        <v>2729</v>
      </c>
      <c r="D32" s="37" t="s">
        <v>2730</v>
      </c>
      <c r="E32" s="37"/>
      <c r="F32" s="37" t="s">
        <v>2729</v>
      </c>
      <c r="G32" s="37" t="s">
        <v>2730</v>
      </c>
      <c r="H32" s="35"/>
      <c r="J32" s="35"/>
      <c r="K32" s="35"/>
      <c r="L32" s="35"/>
      <c r="M32" s="41" t="s">
        <v>2761</v>
      </c>
      <c r="N32" s="41" t="s">
        <v>2762</v>
      </c>
      <c r="O32" s="35"/>
      <c r="P32" s="40" t="s">
        <v>2763</v>
      </c>
      <c r="Q32" s="41" t="s">
        <v>2764</v>
      </c>
    </row>
    <row r="33" spans="1:17">
      <c r="A33" s="36" t="s">
        <v>207</v>
      </c>
      <c r="B33" s="36" t="s">
        <v>2765</v>
      </c>
      <c r="C33" s="37" t="s">
        <v>2729</v>
      </c>
      <c r="D33" s="37" t="s">
        <v>2730</v>
      </c>
      <c r="E33" s="37"/>
      <c r="F33" s="37" t="s">
        <v>2729</v>
      </c>
      <c r="G33" s="37" t="s">
        <v>2730</v>
      </c>
      <c r="H33" s="35"/>
      <c r="J33" s="35"/>
      <c r="K33" s="35"/>
      <c r="L33" s="35"/>
      <c r="M33" s="41" t="s">
        <v>2766</v>
      </c>
      <c r="N33" s="41" t="s">
        <v>2767</v>
      </c>
      <c r="O33" s="35"/>
      <c r="P33" s="40" t="s">
        <v>2768</v>
      </c>
      <c r="Q33" s="41" t="s">
        <v>2769</v>
      </c>
    </row>
    <row r="34" spans="1:17">
      <c r="A34" s="36" t="s">
        <v>212</v>
      </c>
      <c r="B34" s="36" t="s">
        <v>2770</v>
      </c>
      <c r="C34" s="37" t="s">
        <v>2729</v>
      </c>
      <c r="D34" s="37" t="s">
        <v>2730</v>
      </c>
      <c r="E34" s="37"/>
      <c r="F34" s="37" t="s">
        <v>2729</v>
      </c>
      <c r="G34" s="37" t="s">
        <v>2730</v>
      </c>
      <c r="H34" s="35"/>
      <c r="J34" s="35"/>
      <c r="K34" s="35"/>
      <c r="L34" s="35"/>
      <c r="M34" s="41" t="s">
        <v>2771</v>
      </c>
      <c r="N34" s="41" t="s">
        <v>2772</v>
      </c>
      <c r="O34" s="35"/>
      <c r="P34" s="40" t="s">
        <v>2773</v>
      </c>
      <c r="Q34" s="41" t="s">
        <v>2774</v>
      </c>
    </row>
    <row r="35" spans="1:17">
      <c r="A35" s="36" t="s">
        <v>217</v>
      </c>
      <c r="B35" s="36" t="s">
        <v>2775</v>
      </c>
      <c r="C35" s="37" t="s">
        <v>2729</v>
      </c>
      <c r="D35" s="37" t="s">
        <v>2730</v>
      </c>
      <c r="E35" s="37"/>
      <c r="F35" s="37" t="s">
        <v>2729</v>
      </c>
      <c r="G35" s="37" t="s">
        <v>2730</v>
      </c>
      <c r="H35" s="35"/>
      <c r="J35" s="35"/>
      <c r="K35" s="35"/>
      <c r="L35" s="35"/>
      <c r="M35" s="41" t="s">
        <v>2776</v>
      </c>
      <c r="N35" s="41" t="s">
        <v>2777</v>
      </c>
      <c r="O35" s="35"/>
      <c r="P35" s="40" t="s">
        <v>2654</v>
      </c>
      <c r="Q35" s="41" t="s">
        <v>2655</v>
      </c>
    </row>
    <row r="36" spans="1:17">
      <c r="A36" s="36" t="s">
        <v>222</v>
      </c>
      <c r="B36" s="36" t="s">
        <v>2778</v>
      </c>
      <c r="C36" s="37" t="s">
        <v>2729</v>
      </c>
      <c r="D36" s="37" t="s">
        <v>2730</v>
      </c>
      <c r="E36" s="37"/>
      <c r="F36" s="37" t="s">
        <v>2729</v>
      </c>
      <c r="G36" s="37" t="s">
        <v>2730</v>
      </c>
      <c r="H36" s="35"/>
      <c r="J36" s="35"/>
      <c r="K36" s="35"/>
      <c r="L36" s="35"/>
      <c r="M36" s="41" t="s">
        <v>2779</v>
      </c>
      <c r="N36" s="41" t="s">
        <v>2780</v>
      </c>
      <c r="O36" s="35"/>
      <c r="P36" s="40" t="s">
        <v>2781</v>
      </c>
      <c r="Q36" s="41" t="s">
        <v>2782</v>
      </c>
    </row>
    <row r="37" spans="1:17">
      <c r="A37" s="36" t="s">
        <v>227</v>
      </c>
      <c r="B37" s="36" t="s">
        <v>2783</v>
      </c>
      <c r="C37" s="37" t="s">
        <v>2729</v>
      </c>
      <c r="D37" s="37" t="s">
        <v>2730</v>
      </c>
      <c r="E37" s="37"/>
      <c r="F37" s="37" t="s">
        <v>2729</v>
      </c>
      <c r="G37" s="37" t="s">
        <v>2730</v>
      </c>
      <c r="H37" s="35"/>
      <c r="J37" s="35"/>
      <c r="K37" s="35"/>
      <c r="L37" s="35"/>
      <c r="M37" s="41" t="s">
        <v>2784</v>
      </c>
      <c r="N37" s="41" t="s">
        <v>2785</v>
      </c>
      <c r="O37" s="35"/>
      <c r="P37" s="40" t="s">
        <v>2786</v>
      </c>
      <c r="Q37" s="41" t="s">
        <v>2787</v>
      </c>
    </row>
    <row r="38" spans="1:17">
      <c r="A38" s="36" t="s">
        <v>232</v>
      </c>
      <c r="B38" s="36" t="s">
        <v>2788</v>
      </c>
      <c r="C38" s="37" t="s">
        <v>2729</v>
      </c>
      <c r="D38" s="37" t="s">
        <v>2730</v>
      </c>
      <c r="E38" s="37"/>
      <c r="F38" s="37" t="s">
        <v>2729</v>
      </c>
      <c r="G38" s="37" t="s">
        <v>2730</v>
      </c>
      <c r="H38" s="35"/>
      <c r="J38" s="35"/>
      <c r="K38" s="35"/>
      <c r="L38" s="35"/>
      <c r="M38" s="41" t="s">
        <v>2789</v>
      </c>
      <c r="N38" s="41" t="s">
        <v>2790</v>
      </c>
      <c r="O38" s="35"/>
      <c r="P38" s="40" t="s">
        <v>2791</v>
      </c>
      <c r="Q38" s="41" t="s">
        <v>2792</v>
      </c>
    </row>
    <row r="39" spans="1:17">
      <c r="A39" s="36" t="s">
        <v>237</v>
      </c>
      <c r="B39" s="36" t="s">
        <v>2793</v>
      </c>
      <c r="C39" s="37" t="s">
        <v>2729</v>
      </c>
      <c r="D39" s="37" t="s">
        <v>2730</v>
      </c>
      <c r="E39" s="37"/>
      <c r="F39" s="37" t="s">
        <v>2729</v>
      </c>
      <c r="G39" s="37" t="s">
        <v>2730</v>
      </c>
      <c r="H39" s="35"/>
      <c r="J39" s="35"/>
      <c r="K39" s="35"/>
      <c r="L39" s="35"/>
      <c r="M39" s="41" t="s">
        <v>2794</v>
      </c>
      <c r="N39" s="41" t="s">
        <v>2795</v>
      </c>
      <c r="O39" s="35"/>
      <c r="P39" s="40" t="s">
        <v>2796</v>
      </c>
      <c r="Q39" s="41" t="s">
        <v>2797</v>
      </c>
    </row>
    <row r="40" spans="1:17">
      <c r="A40" s="36" t="s">
        <v>242</v>
      </c>
      <c r="B40" s="36" t="s">
        <v>2798</v>
      </c>
      <c r="C40" s="37" t="s">
        <v>2729</v>
      </c>
      <c r="D40" s="37" t="s">
        <v>2730</v>
      </c>
      <c r="E40" s="37"/>
      <c r="F40" s="37" t="s">
        <v>2729</v>
      </c>
      <c r="G40" s="37" t="s">
        <v>2730</v>
      </c>
      <c r="H40" s="35"/>
      <c r="J40" s="35"/>
      <c r="K40" s="35"/>
      <c r="L40" s="35"/>
      <c r="M40" s="41" t="s">
        <v>2799</v>
      </c>
      <c r="N40" s="41" t="s">
        <v>2800</v>
      </c>
      <c r="O40" s="35"/>
      <c r="P40" s="40" t="s">
        <v>2801</v>
      </c>
      <c r="Q40" s="41" t="s">
        <v>2802</v>
      </c>
    </row>
    <row r="41" spans="1:17">
      <c r="A41" s="36" t="s">
        <v>247</v>
      </c>
      <c r="B41" s="36" t="s">
        <v>2803</v>
      </c>
      <c r="C41" s="37" t="s">
        <v>2729</v>
      </c>
      <c r="D41" s="37" t="s">
        <v>2730</v>
      </c>
      <c r="E41" s="37"/>
      <c r="F41" s="37" t="s">
        <v>2729</v>
      </c>
      <c r="G41" s="37" t="s">
        <v>2730</v>
      </c>
      <c r="H41" s="35"/>
      <c r="J41" s="35"/>
      <c r="K41" s="35"/>
      <c r="L41" s="35"/>
      <c r="M41" s="40" t="s">
        <v>2804</v>
      </c>
      <c r="N41" s="41" t="s">
        <v>2805</v>
      </c>
      <c r="O41" s="35"/>
      <c r="P41" s="40" t="s">
        <v>2659</v>
      </c>
      <c r="Q41" s="41" t="s">
        <v>2660</v>
      </c>
    </row>
    <row r="42" spans="1:17">
      <c r="A42" s="36" t="s">
        <v>2806</v>
      </c>
      <c r="B42" s="36" t="s">
        <v>2807</v>
      </c>
      <c r="C42" s="37"/>
      <c r="D42" s="37"/>
      <c r="E42" s="37"/>
      <c r="F42" s="37"/>
      <c r="G42" s="37"/>
      <c r="H42" s="35"/>
      <c r="J42" s="35"/>
      <c r="K42" s="35"/>
      <c r="L42" s="35"/>
      <c r="M42" s="35" t="s">
        <v>2611</v>
      </c>
      <c r="N42" s="35" t="s">
        <v>2808</v>
      </c>
      <c r="O42" s="35"/>
      <c r="P42" s="40" t="s">
        <v>2666</v>
      </c>
      <c r="Q42" s="41" t="s">
        <v>2254</v>
      </c>
    </row>
    <row r="43" spans="1:17">
      <c r="A43" s="36" t="s">
        <v>252</v>
      </c>
      <c r="B43" s="36" t="s">
        <v>2809</v>
      </c>
      <c r="C43" s="37" t="s">
        <v>2705</v>
      </c>
      <c r="D43" s="37" t="s">
        <v>2706</v>
      </c>
      <c r="E43" s="37"/>
      <c r="F43" s="37" t="s">
        <v>2705</v>
      </c>
      <c r="G43" s="37" t="s">
        <v>2706</v>
      </c>
      <c r="H43" s="35"/>
      <c r="J43" s="35"/>
      <c r="K43" s="35"/>
      <c r="L43" s="35"/>
      <c r="M43" s="35" t="s">
        <v>4785</v>
      </c>
      <c r="N43" s="35" t="s">
        <v>4787</v>
      </c>
      <c r="O43" s="35"/>
      <c r="P43" s="40" t="s">
        <v>2676</v>
      </c>
      <c r="Q43" s="41" t="s">
        <v>2677</v>
      </c>
    </row>
    <row r="44" spans="1:17">
      <c r="A44" s="36" t="s">
        <v>256</v>
      </c>
      <c r="B44" s="36" t="s">
        <v>2810</v>
      </c>
      <c r="C44" s="37" t="s">
        <v>2705</v>
      </c>
      <c r="D44" s="37" t="s">
        <v>2706</v>
      </c>
      <c r="E44" s="37"/>
      <c r="F44" s="37" t="s">
        <v>2705</v>
      </c>
      <c r="G44" s="37" t="s">
        <v>2706</v>
      </c>
      <c r="H44" s="35"/>
      <c r="J44" s="35"/>
      <c r="K44" s="35"/>
      <c r="L44" s="35"/>
      <c r="M44" s="35"/>
      <c r="N44" s="35"/>
      <c r="O44" s="35"/>
      <c r="P44" s="40" t="s">
        <v>2811</v>
      </c>
      <c r="Q44" s="41" t="s">
        <v>2812</v>
      </c>
    </row>
    <row r="45" spans="1:17">
      <c r="A45" s="36" t="s">
        <v>260</v>
      </c>
      <c r="B45" s="36" t="s">
        <v>2813</v>
      </c>
      <c r="C45" s="37" t="s">
        <v>2616</v>
      </c>
      <c r="D45" s="37" t="s">
        <v>2617</v>
      </c>
      <c r="E45" s="37"/>
      <c r="F45" s="37" t="s">
        <v>2616</v>
      </c>
      <c r="G45" s="37" t="s">
        <v>2617</v>
      </c>
      <c r="H45" s="35"/>
      <c r="J45" s="35"/>
      <c r="K45" s="35"/>
      <c r="L45" s="35"/>
      <c r="M45" s="35"/>
      <c r="N45" s="35"/>
      <c r="O45" s="35"/>
      <c r="P45" s="40" t="s">
        <v>2814</v>
      </c>
      <c r="Q45" s="41" t="s">
        <v>2815</v>
      </c>
    </row>
    <row r="46" spans="1:17" ht="14.45" customHeight="1">
      <c r="A46" s="36" t="s">
        <v>264</v>
      </c>
      <c r="B46" s="36" t="s">
        <v>2816</v>
      </c>
      <c r="C46" s="37" t="s">
        <v>2616</v>
      </c>
      <c r="D46" s="37" t="s">
        <v>2617</v>
      </c>
      <c r="E46" s="37"/>
      <c r="F46" s="37" t="s">
        <v>2616</v>
      </c>
      <c r="G46" s="37" t="s">
        <v>2617</v>
      </c>
      <c r="H46" s="35"/>
      <c r="J46" s="35"/>
      <c r="K46" s="35"/>
      <c r="L46" s="35"/>
      <c r="M46" s="35"/>
      <c r="N46" s="35"/>
      <c r="O46" s="35"/>
      <c r="P46" s="40" t="s">
        <v>2817</v>
      </c>
      <c r="Q46" s="41" t="s">
        <v>2818</v>
      </c>
    </row>
    <row r="47" spans="1:17" ht="14.45" customHeight="1">
      <c r="A47" s="36" t="s">
        <v>268</v>
      </c>
      <c r="B47" s="36" t="s">
        <v>2819</v>
      </c>
      <c r="C47" s="37" t="s">
        <v>2616</v>
      </c>
      <c r="D47" s="37" t="s">
        <v>2617</v>
      </c>
      <c r="E47" s="37"/>
      <c r="F47" s="37" t="s">
        <v>2616</v>
      </c>
      <c r="G47" s="37" t="s">
        <v>2617</v>
      </c>
      <c r="H47" s="35"/>
      <c r="J47" s="35"/>
      <c r="K47" s="35"/>
      <c r="L47" s="35"/>
      <c r="M47" s="35"/>
      <c r="N47" s="35"/>
      <c r="O47" s="35"/>
      <c r="P47" s="40" t="s">
        <v>2817</v>
      </c>
      <c r="Q47" s="41" t="s">
        <v>2818</v>
      </c>
    </row>
    <row r="48" spans="1:17">
      <c r="A48" s="36" t="s">
        <v>272</v>
      </c>
      <c r="B48" s="36" t="s">
        <v>2820</v>
      </c>
      <c r="C48" s="37" t="s">
        <v>2821</v>
      </c>
      <c r="D48" s="37" t="s">
        <v>2822</v>
      </c>
      <c r="E48" s="37"/>
      <c r="F48" s="37" t="s">
        <v>2821</v>
      </c>
      <c r="G48" s="37" t="s">
        <v>2822</v>
      </c>
      <c r="H48" s="35"/>
      <c r="J48" s="35"/>
      <c r="K48" s="35"/>
      <c r="L48" s="35"/>
      <c r="M48" s="35"/>
      <c r="N48" s="35"/>
      <c r="O48" s="35"/>
      <c r="P48" s="40" t="s">
        <v>2823</v>
      </c>
      <c r="Q48" s="41" t="s">
        <v>2824</v>
      </c>
    </row>
    <row r="49" spans="1:17">
      <c r="A49" s="36" t="s">
        <v>276</v>
      </c>
      <c r="B49" s="36" t="s">
        <v>2825</v>
      </c>
      <c r="C49" s="37" t="s">
        <v>2821</v>
      </c>
      <c r="D49" s="37" t="s">
        <v>2822</v>
      </c>
      <c r="E49" s="37"/>
      <c r="F49" s="37" t="s">
        <v>2821</v>
      </c>
      <c r="G49" s="37" t="s">
        <v>2822</v>
      </c>
      <c r="H49" s="35"/>
      <c r="J49" s="35"/>
      <c r="K49" s="35"/>
      <c r="L49" s="35"/>
      <c r="M49" s="35"/>
      <c r="N49" s="35"/>
      <c r="O49" s="35"/>
      <c r="P49" s="40" t="s">
        <v>2826</v>
      </c>
      <c r="Q49" s="41" t="s">
        <v>2827</v>
      </c>
    </row>
    <row r="50" spans="1:17">
      <c r="A50" s="36" t="s">
        <v>280</v>
      </c>
      <c r="B50" s="36" t="s">
        <v>2828</v>
      </c>
      <c r="C50" s="37" t="s">
        <v>2821</v>
      </c>
      <c r="D50" s="37" t="s">
        <v>2822</v>
      </c>
      <c r="E50" s="37"/>
      <c r="F50" s="37" t="s">
        <v>2821</v>
      </c>
      <c r="G50" s="37" t="s">
        <v>2822</v>
      </c>
      <c r="H50" s="35"/>
      <c r="J50" s="35"/>
      <c r="K50" s="35"/>
      <c r="L50" s="35"/>
      <c r="M50" s="35"/>
      <c r="N50" s="35"/>
      <c r="O50" s="35"/>
      <c r="P50" s="40" t="s">
        <v>2829</v>
      </c>
      <c r="Q50" s="41" t="s">
        <v>2830</v>
      </c>
    </row>
    <row r="51" spans="1:17">
      <c r="A51" s="36" t="s">
        <v>2831</v>
      </c>
      <c r="B51" s="36" t="s">
        <v>2832</v>
      </c>
      <c r="C51" s="37" t="s">
        <v>2833</v>
      </c>
      <c r="D51" s="37" t="s">
        <v>2834</v>
      </c>
      <c r="E51" s="37"/>
      <c r="F51" s="37" t="s">
        <v>2833</v>
      </c>
      <c r="G51" s="37" t="s">
        <v>2834</v>
      </c>
      <c r="H51" s="35"/>
      <c r="J51" s="35"/>
      <c r="K51" s="35"/>
      <c r="L51" s="35"/>
      <c r="M51" s="35"/>
      <c r="N51" s="35"/>
      <c r="O51" s="35"/>
      <c r="P51" s="40" t="s">
        <v>2835</v>
      </c>
      <c r="Q51" s="41" t="s">
        <v>2836</v>
      </c>
    </row>
    <row r="52" spans="1:17">
      <c r="A52" s="36" t="s">
        <v>284</v>
      </c>
      <c r="B52" s="36" t="s">
        <v>2837</v>
      </c>
      <c r="C52" s="37" t="s">
        <v>2616</v>
      </c>
      <c r="D52" s="37" t="s">
        <v>2617</v>
      </c>
      <c r="E52" s="37"/>
      <c r="F52" s="37" t="s">
        <v>2616</v>
      </c>
      <c r="G52" s="37" t="s">
        <v>2617</v>
      </c>
      <c r="H52" s="35"/>
      <c r="J52" s="35"/>
      <c r="K52" s="35"/>
      <c r="L52" s="35"/>
      <c r="M52" s="35"/>
      <c r="N52" s="35"/>
      <c r="O52" s="35"/>
      <c r="P52" s="40" t="s">
        <v>2838</v>
      </c>
      <c r="Q52" s="41" t="s">
        <v>2839</v>
      </c>
    </row>
    <row r="53" spans="1:17">
      <c r="A53" s="36" t="s">
        <v>288</v>
      </c>
      <c r="B53" s="36" t="s">
        <v>2840</v>
      </c>
      <c r="C53" s="37" t="s">
        <v>2616</v>
      </c>
      <c r="D53" s="37" t="s">
        <v>2617</v>
      </c>
      <c r="E53" s="37"/>
      <c r="F53" s="37" t="s">
        <v>2616</v>
      </c>
      <c r="G53" s="37" t="s">
        <v>2617</v>
      </c>
      <c r="H53" s="35"/>
      <c r="J53" s="35"/>
      <c r="K53" s="35"/>
      <c r="L53" s="35"/>
      <c r="M53" s="35"/>
      <c r="N53" s="35"/>
      <c r="O53" s="35"/>
      <c r="P53" s="40" t="s">
        <v>2681</v>
      </c>
      <c r="Q53" s="41" t="s">
        <v>2486</v>
      </c>
    </row>
    <row r="54" spans="1:17">
      <c r="A54" s="36" t="s">
        <v>292</v>
      </c>
      <c r="B54" s="36" t="s">
        <v>2841</v>
      </c>
      <c r="C54" s="37" t="s">
        <v>2705</v>
      </c>
      <c r="D54" s="37" t="s">
        <v>2706</v>
      </c>
      <c r="E54" s="37"/>
      <c r="F54" s="37" t="s">
        <v>2705</v>
      </c>
      <c r="G54" s="37" t="s">
        <v>2706</v>
      </c>
      <c r="H54" s="35"/>
      <c r="J54" s="35"/>
      <c r="K54" s="35"/>
      <c r="L54" s="35"/>
      <c r="M54" s="35"/>
      <c r="N54" s="35"/>
      <c r="O54" s="35"/>
      <c r="P54" s="40" t="s">
        <v>2842</v>
      </c>
      <c r="Q54" s="41" t="s">
        <v>2843</v>
      </c>
    </row>
    <row r="55" spans="1:17">
      <c r="A55" s="36" t="s">
        <v>296</v>
      </c>
      <c r="B55" s="36" t="s">
        <v>2844</v>
      </c>
      <c r="C55" s="37" t="s">
        <v>2705</v>
      </c>
      <c r="D55" s="37" t="s">
        <v>2706</v>
      </c>
      <c r="E55" s="37"/>
      <c r="F55" s="37" t="s">
        <v>2705</v>
      </c>
      <c r="G55" s="37" t="s">
        <v>2706</v>
      </c>
      <c r="H55" s="35"/>
      <c r="J55" s="35"/>
      <c r="K55" s="35"/>
      <c r="L55" s="35"/>
      <c r="M55" s="35"/>
      <c r="N55" s="35"/>
      <c r="O55" s="35"/>
      <c r="P55" s="40" t="s">
        <v>2845</v>
      </c>
      <c r="Q55" s="41" t="s">
        <v>2846</v>
      </c>
    </row>
    <row r="56" spans="1:17">
      <c r="A56" s="36" t="s">
        <v>300</v>
      </c>
      <c r="B56" s="36" t="s">
        <v>2847</v>
      </c>
      <c r="C56" s="37" t="s">
        <v>2705</v>
      </c>
      <c r="D56" s="37" t="s">
        <v>2706</v>
      </c>
      <c r="E56" s="37"/>
      <c r="F56" s="37" t="s">
        <v>2705</v>
      </c>
      <c r="G56" s="37" t="s">
        <v>2706</v>
      </c>
      <c r="H56" s="35"/>
      <c r="J56" s="35"/>
      <c r="K56" s="35"/>
      <c r="L56" s="35"/>
      <c r="M56" s="35"/>
      <c r="N56" s="35"/>
      <c r="O56" s="35"/>
      <c r="P56" s="40" t="s">
        <v>2848</v>
      </c>
      <c r="Q56" s="41" t="s">
        <v>2849</v>
      </c>
    </row>
    <row r="57" spans="1:17">
      <c r="A57" s="36" t="s">
        <v>2850</v>
      </c>
      <c r="B57" s="36" t="s">
        <v>2851</v>
      </c>
      <c r="C57" s="37"/>
      <c r="D57" s="37"/>
      <c r="E57" s="37"/>
      <c r="F57" s="37"/>
      <c r="G57" s="37"/>
      <c r="H57" s="35"/>
      <c r="J57" s="35"/>
      <c r="K57" s="35"/>
      <c r="L57" s="35"/>
      <c r="M57" s="35"/>
      <c r="N57" s="35"/>
      <c r="O57" s="35"/>
      <c r="P57" s="40" t="s">
        <v>2852</v>
      </c>
      <c r="Q57" s="41" t="s">
        <v>2853</v>
      </c>
    </row>
    <row r="58" spans="1:17">
      <c r="A58" s="36" t="s">
        <v>304</v>
      </c>
      <c r="B58" s="36" t="s">
        <v>2854</v>
      </c>
      <c r="C58" s="37" t="s">
        <v>2855</v>
      </c>
      <c r="D58" s="37" t="s">
        <v>2856</v>
      </c>
      <c r="E58" s="37"/>
      <c r="F58" s="37" t="s">
        <v>2855</v>
      </c>
      <c r="G58" s="37" t="s">
        <v>2856</v>
      </c>
      <c r="H58" s="35"/>
      <c r="J58" s="35"/>
      <c r="K58" s="35"/>
      <c r="L58" s="35"/>
      <c r="M58" s="35"/>
      <c r="N58" s="35"/>
      <c r="O58" s="35"/>
      <c r="P58" s="40" t="s">
        <v>2857</v>
      </c>
      <c r="Q58" s="41" t="s">
        <v>2858</v>
      </c>
    </row>
    <row r="59" spans="1:17">
      <c r="A59" s="36" t="s">
        <v>308</v>
      </c>
      <c r="B59" s="36" t="s">
        <v>2859</v>
      </c>
      <c r="C59" s="37" t="s">
        <v>2860</v>
      </c>
      <c r="D59" s="37" t="s">
        <v>2861</v>
      </c>
      <c r="E59" s="37"/>
      <c r="F59" s="37" t="s">
        <v>2860</v>
      </c>
      <c r="G59" s="37" t="s">
        <v>2861</v>
      </c>
      <c r="H59" s="35"/>
      <c r="J59" s="35"/>
      <c r="K59" s="35"/>
      <c r="L59" s="35"/>
      <c r="M59" s="35"/>
      <c r="N59" s="35"/>
      <c r="O59" s="35"/>
      <c r="P59" s="40" t="s">
        <v>2862</v>
      </c>
      <c r="Q59" s="41" t="s">
        <v>2863</v>
      </c>
    </row>
    <row r="60" spans="1:17">
      <c r="A60" s="36" t="s">
        <v>312</v>
      </c>
      <c r="B60" s="36" t="s">
        <v>2864</v>
      </c>
      <c r="C60" s="37" t="s">
        <v>2855</v>
      </c>
      <c r="D60" s="37" t="s">
        <v>2856</v>
      </c>
      <c r="E60" s="37"/>
      <c r="F60" s="37" t="s">
        <v>2855</v>
      </c>
      <c r="G60" s="37" t="s">
        <v>2856</v>
      </c>
      <c r="H60" s="35"/>
      <c r="J60" s="35"/>
      <c r="K60" s="35"/>
      <c r="L60" s="35"/>
      <c r="M60" s="35"/>
      <c r="N60" s="35"/>
      <c r="O60" s="35"/>
      <c r="P60" s="40" t="s">
        <v>2865</v>
      </c>
      <c r="Q60" s="41" t="s">
        <v>2866</v>
      </c>
    </row>
    <row r="61" spans="1:17">
      <c r="A61" s="36" t="s">
        <v>2867</v>
      </c>
      <c r="B61" s="36" t="s">
        <v>2868</v>
      </c>
      <c r="C61" s="37"/>
      <c r="D61" s="37"/>
      <c r="E61" s="37"/>
      <c r="F61" s="37"/>
      <c r="G61" s="37"/>
      <c r="H61" s="35"/>
      <c r="J61" s="35"/>
      <c r="K61" s="35"/>
      <c r="L61" s="35"/>
      <c r="M61" s="35"/>
      <c r="N61" s="35"/>
      <c r="O61" s="35"/>
      <c r="P61" s="40" t="s">
        <v>2869</v>
      </c>
      <c r="Q61" s="41" t="s">
        <v>2870</v>
      </c>
    </row>
    <row r="62" spans="1:17">
      <c r="A62" s="36" t="s">
        <v>316</v>
      </c>
      <c r="B62" s="36" t="s">
        <v>2871</v>
      </c>
      <c r="C62" s="37" t="s">
        <v>2872</v>
      </c>
      <c r="D62" s="37" t="s">
        <v>2873</v>
      </c>
      <c r="E62" s="37"/>
      <c r="F62" s="37" t="s">
        <v>2872</v>
      </c>
      <c r="G62" s="37" t="s">
        <v>2873</v>
      </c>
      <c r="H62" s="35"/>
      <c r="J62" s="35"/>
      <c r="K62" s="35"/>
      <c r="L62" s="35"/>
      <c r="M62" s="35"/>
      <c r="N62" s="35"/>
      <c r="O62" s="35"/>
      <c r="P62" s="40" t="s">
        <v>2874</v>
      </c>
      <c r="Q62" s="41" t="s">
        <v>2875</v>
      </c>
    </row>
    <row r="63" spans="1:17">
      <c r="A63" s="36" t="s">
        <v>320</v>
      </c>
      <c r="B63" s="36" t="s">
        <v>2876</v>
      </c>
      <c r="C63" s="37" t="s">
        <v>2872</v>
      </c>
      <c r="D63" s="37" t="s">
        <v>2873</v>
      </c>
      <c r="E63" s="37"/>
      <c r="F63" s="37" t="s">
        <v>2872</v>
      </c>
      <c r="G63" s="37" t="s">
        <v>2873</v>
      </c>
      <c r="H63" s="35"/>
      <c r="J63" s="35"/>
      <c r="K63" s="35"/>
      <c r="L63" s="35"/>
      <c r="M63" s="35"/>
      <c r="N63" s="35"/>
      <c r="O63" s="35"/>
      <c r="P63" s="40" t="s">
        <v>2685</v>
      </c>
      <c r="Q63" s="41" t="s">
        <v>2686</v>
      </c>
    </row>
    <row r="64" spans="1:17">
      <c r="A64" s="36" t="s">
        <v>324</v>
      </c>
      <c r="B64" s="36" t="s">
        <v>2877</v>
      </c>
      <c r="C64" s="37" t="s">
        <v>2872</v>
      </c>
      <c r="D64" s="37" t="s">
        <v>2873</v>
      </c>
      <c r="E64" s="37"/>
      <c r="F64" s="37" t="s">
        <v>2872</v>
      </c>
      <c r="G64" s="37" t="s">
        <v>2873</v>
      </c>
      <c r="H64" s="35"/>
      <c r="J64" s="35"/>
      <c r="K64" s="35"/>
      <c r="L64" s="35"/>
      <c r="M64" s="35"/>
      <c r="N64" s="35"/>
      <c r="O64" s="35"/>
      <c r="P64" s="40" t="s">
        <v>2690</v>
      </c>
      <c r="Q64" s="41" t="s">
        <v>2691</v>
      </c>
    </row>
    <row r="65" spans="1:17">
      <c r="A65" s="36" t="s">
        <v>328</v>
      </c>
      <c r="B65" s="36" t="s">
        <v>2878</v>
      </c>
      <c r="C65" s="37" t="s">
        <v>2879</v>
      </c>
      <c r="D65" s="37" t="s">
        <v>2880</v>
      </c>
      <c r="E65" s="37"/>
      <c r="F65" s="37" t="s">
        <v>2879</v>
      </c>
      <c r="G65" s="37" t="s">
        <v>2880</v>
      </c>
      <c r="H65" s="35"/>
      <c r="J65" s="35"/>
      <c r="K65" s="35"/>
      <c r="L65" s="35"/>
      <c r="M65" s="35"/>
      <c r="N65" s="35"/>
      <c r="O65" s="35"/>
      <c r="P65" s="40" t="s">
        <v>2881</v>
      </c>
      <c r="Q65" s="41" t="s">
        <v>2882</v>
      </c>
    </row>
    <row r="66" spans="1:17">
      <c r="A66" s="36" t="s">
        <v>332</v>
      </c>
      <c r="B66" s="36" t="s">
        <v>2883</v>
      </c>
      <c r="C66" s="37" t="s">
        <v>2884</v>
      </c>
      <c r="D66" s="37" t="s">
        <v>2885</v>
      </c>
      <c r="E66" s="37"/>
      <c r="F66" s="37" t="s">
        <v>2884</v>
      </c>
      <c r="G66" s="37" t="s">
        <v>2885</v>
      </c>
      <c r="H66" s="35"/>
      <c r="J66" s="35"/>
      <c r="K66" s="35"/>
      <c r="L66" s="35"/>
      <c r="M66" s="35"/>
      <c r="N66" s="35"/>
      <c r="O66" s="35"/>
      <c r="P66" s="40" t="s">
        <v>2886</v>
      </c>
      <c r="Q66" s="41" t="s">
        <v>2887</v>
      </c>
    </row>
    <row r="67" spans="1:17">
      <c r="A67" s="36" t="s">
        <v>2890</v>
      </c>
      <c r="B67" s="36" t="s">
        <v>2891</v>
      </c>
      <c r="C67" s="37"/>
      <c r="D67" s="37"/>
      <c r="E67" s="37"/>
      <c r="F67" s="37"/>
      <c r="G67" s="37"/>
      <c r="H67" s="35"/>
      <c r="J67" s="35"/>
      <c r="K67" s="35"/>
      <c r="L67" s="35"/>
      <c r="M67" s="35"/>
      <c r="N67" s="35"/>
      <c r="O67" s="35"/>
      <c r="P67" s="40" t="s">
        <v>2695</v>
      </c>
      <c r="Q67" s="41" t="s">
        <v>2696</v>
      </c>
    </row>
    <row r="68" spans="1:17">
      <c r="A68" s="36" t="s">
        <v>2894</v>
      </c>
      <c r="B68" s="36" t="s">
        <v>2895</v>
      </c>
      <c r="C68" s="37"/>
      <c r="D68" s="37"/>
      <c r="E68" s="37"/>
      <c r="F68" s="37"/>
      <c r="G68" s="37"/>
      <c r="H68" s="35"/>
      <c r="J68" s="35"/>
      <c r="K68" s="35"/>
      <c r="L68" s="35"/>
      <c r="M68" s="35"/>
      <c r="N68" s="35"/>
      <c r="O68" s="35"/>
      <c r="P68" s="40" t="s">
        <v>2888</v>
      </c>
      <c r="Q68" s="41" t="s">
        <v>2889</v>
      </c>
    </row>
    <row r="69" spans="1:17">
      <c r="A69" s="36" t="s">
        <v>336</v>
      </c>
      <c r="B69" s="36" t="s">
        <v>2897</v>
      </c>
      <c r="C69" s="37" t="s">
        <v>2612</v>
      </c>
      <c r="D69" s="37" t="s">
        <v>2611</v>
      </c>
      <c r="E69" s="37"/>
      <c r="F69" s="37" t="s">
        <v>4787</v>
      </c>
      <c r="G69" s="37" t="s">
        <v>4786</v>
      </c>
      <c r="H69" s="35"/>
      <c r="J69" s="35"/>
      <c r="K69" s="35"/>
      <c r="L69" s="35"/>
      <c r="M69" s="35"/>
      <c r="N69" s="35"/>
      <c r="O69" s="35"/>
      <c r="P69" s="40" t="s">
        <v>2892</v>
      </c>
      <c r="Q69" s="41" t="s">
        <v>2893</v>
      </c>
    </row>
    <row r="70" spans="1:17">
      <c r="A70" s="36" t="s">
        <v>340</v>
      </c>
      <c r="B70" s="36" t="s">
        <v>2900</v>
      </c>
      <c r="C70" s="37" t="s">
        <v>2612</v>
      </c>
      <c r="D70" s="37" t="s">
        <v>2611</v>
      </c>
      <c r="E70" s="37"/>
      <c r="F70" s="37" t="s">
        <v>4787</v>
      </c>
      <c r="G70" s="37" t="s">
        <v>4786</v>
      </c>
      <c r="H70" s="35"/>
      <c r="J70" s="35"/>
      <c r="K70" s="35"/>
      <c r="L70" s="35"/>
      <c r="M70" s="35"/>
      <c r="N70" s="35"/>
      <c r="O70" s="35"/>
      <c r="P70" s="40" t="s">
        <v>2896</v>
      </c>
      <c r="Q70" s="41" t="s">
        <v>993</v>
      </c>
    </row>
    <row r="71" spans="1:17">
      <c r="A71" s="36" t="s">
        <v>344</v>
      </c>
      <c r="B71" s="36" t="s">
        <v>2903</v>
      </c>
      <c r="C71" s="37" t="s">
        <v>2612</v>
      </c>
      <c r="D71" s="37" t="s">
        <v>2611</v>
      </c>
      <c r="E71" s="37"/>
      <c r="F71" s="37" t="s">
        <v>4787</v>
      </c>
      <c r="G71" s="37" t="s">
        <v>4786</v>
      </c>
      <c r="H71" s="35"/>
      <c r="J71" s="35"/>
      <c r="K71" s="35"/>
      <c r="L71" s="35"/>
      <c r="M71" s="35"/>
      <c r="N71" s="35"/>
      <c r="O71" s="35"/>
      <c r="P71" s="40" t="s">
        <v>2898</v>
      </c>
      <c r="Q71" s="41" t="s">
        <v>2899</v>
      </c>
    </row>
    <row r="72" spans="1:17">
      <c r="A72" s="36" t="s">
        <v>348</v>
      </c>
      <c r="B72" s="36" t="s">
        <v>2904</v>
      </c>
      <c r="C72" s="37" t="s">
        <v>2612</v>
      </c>
      <c r="D72" s="37" t="s">
        <v>2611</v>
      </c>
      <c r="E72" s="37"/>
      <c r="F72" s="37" t="s">
        <v>4787</v>
      </c>
      <c r="G72" s="37" t="s">
        <v>4786</v>
      </c>
      <c r="H72" s="35"/>
      <c r="J72" s="35"/>
      <c r="K72" s="35"/>
      <c r="L72" s="35"/>
      <c r="M72" s="35"/>
      <c r="N72" s="35"/>
      <c r="O72" s="35"/>
      <c r="P72" s="40" t="s">
        <v>2901</v>
      </c>
      <c r="Q72" s="41" t="s">
        <v>2902</v>
      </c>
    </row>
    <row r="73" spans="1:17">
      <c r="A73" s="36" t="s">
        <v>352</v>
      </c>
      <c r="B73" s="36" t="s">
        <v>2905</v>
      </c>
      <c r="C73" s="37" t="s">
        <v>2612</v>
      </c>
      <c r="D73" s="37" t="s">
        <v>2611</v>
      </c>
      <c r="E73" s="37"/>
      <c r="F73" s="37" t="s">
        <v>4787</v>
      </c>
      <c r="G73" s="37" t="s">
        <v>4786</v>
      </c>
      <c r="H73" s="35"/>
      <c r="J73" s="35"/>
      <c r="K73" s="35"/>
      <c r="L73" s="35"/>
      <c r="M73" s="35"/>
      <c r="N73" s="35"/>
      <c r="O73" s="35"/>
      <c r="P73" s="40" t="s">
        <v>2710</v>
      </c>
      <c r="Q73" s="41" t="s">
        <v>2711</v>
      </c>
    </row>
    <row r="74" spans="1:17">
      <c r="A74" s="36" t="s">
        <v>356</v>
      </c>
      <c r="B74" s="36" t="s">
        <v>2906</v>
      </c>
      <c r="C74" s="37" t="s">
        <v>2612</v>
      </c>
      <c r="D74" s="37" t="s">
        <v>2611</v>
      </c>
      <c r="E74" s="37"/>
      <c r="F74" s="37" t="s">
        <v>4787</v>
      </c>
      <c r="G74" s="37" t="s">
        <v>4786</v>
      </c>
      <c r="H74" s="35"/>
      <c r="J74" s="35"/>
      <c r="K74" s="35"/>
      <c r="L74" s="35"/>
      <c r="M74" s="35"/>
      <c r="N74" s="35"/>
      <c r="O74" s="35"/>
      <c r="P74" s="40" t="s">
        <v>2715</v>
      </c>
      <c r="Q74" s="41" t="s">
        <v>2716</v>
      </c>
    </row>
    <row r="75" spans="1:17">
      <c r="A75" s="36" t="s">
        <v>360</v>
      </c>
      <c r="B75" s="36" t="s">
        <v>2907</v>
      </c>
      <c r="C75" s="37" t="s">
        <v>2612</v>
      </c>
      <c r="D75" s="37" t="s">
        <v>2611</v>
      </c>
      <c r="E75" s="37"/>
      <c r="F75" s="37" t="s">
        <v>4787</v>
      </c>
      <c r="G75" s="37" t="s">
        <v>4786</v>
      </c>
      <c r="H75" s="35"/>
      <c r="J75" s="35"/>
      <c r="K75" s="35"/>
      <c r="L75" s="35"/>
      <c r="M75" s="35"/>
      <c r="N75" s="35"/>
      <c r="O75" s="35"/>
      <c r="P75" s="40" t="s">
        <v>2720</v>
      </c>
      <c r="Q75" s="41" t="s">
        <v>2721</v>
      </c>
    </row>
    <row r="76" spans="1:17">
      <c r="A76" s="36" t="s">
        <v>364</v>
      </c>
      <c r="B76" s="36" t="s">
        <v>2910</v>
      </c>
      <c r="C76" s="37" t="s">
        <v>2612</v>
      </c>
      <c r="D76" s="37" t="s">
        <v>2611</v>
      </c>
      <c r="E76" s="37"/>
      <c r="F76" s="37" t="s">
        <v>4787</v>
      </c>
      <c r="G76" s="37" t="s">
        <v>4786</v>
      </c>
      <c r="H76" s="35"/>
      <c r="J76" s="35"/>
      <c r="K76" s="35"/>
      <c r="L76" s="35"/>
      <c r="M76" s="35"/>
      <c r="N76" s="35"/>
      <c r="O76" s="35"/>
      <c r="P76" s="40" t="s">
        <v>2731</v>
      </c>
      <c r="Q76" s="41" t="s">
        <v>2732</v>
      </c>
    </row>
    <row r="77" spans="1:17">
      <c r="A77" s="36" t="s">
        <v>368</v>
      </c>
      <c r="B77" s="36" t="s">
        <v>2913</v>
      </c>
      <c r="C77" s="37" t="s">
        <v>2612</v>
      </c>
      <c r="D77" s="37" t="s">
        <v>2611</v>
      </c>
      <c r="E77" s="37"/>
      <c r="F77" s="37" t="s">
        <v>4787</v>
      </c>
      <c r="G77" s="37" t="s">
        <v>4786</v>
      </c>
      <c r="H77" s="35"/>
      <c r="J77" s="35"/>
      <c r="K77" s="35"/>
      <c r="L77" s="35"/>
      <c r="M77" s="35"/>
      <c r="N77" s="35"/>
      <c r="O77" s="35"/>
      <c r="P77" s="40" t="s">
        <v>2908</v>
      </c>
      <c r="Q77" s="41" t="s">
        <v>2909</v>
      </c>
    </row>
    <row r="78" spans="1:17">
      <c r="A78" s="36" t="s">
        <v>2916</v>
      </c>
      <c r="B78" s="36" t="s">
        <v>2917</v>
      </c>
      <c r="C78" s="37"/>
      <c r="D78" s="37"/>
      <c r="E78" s="37"/>
      <c r="F78" s="37"/>
      <c r="G78" s="37"/>
      <c r="H78" s="35"/>
      <c r="J78" s="35"/>
      <c r="K78" s="35"/>
      <c r="L78" s="35"/>
      <c r="M78" s="35"/>
      <c r="N78" s="35"/>
      <c r="O78" s="35"/>
      <c r="P78" s="40" t="s">
        <v>2911</v>
      </c>
      <c r="Q78" s="41" t="s">
        <v>2912</v>
      </c>
    </row>
    <row r="79" spans="1:17">
      <c r="A79" s="36" t="s">
        <v>372</v>
      </c>
      <c r="B79" s="36" t="s">
        <v>2920</v>
      </c>
      <c r="C79" s="37" t="s">
        <v>2769</v>
      </c>
      <c r="D79" s="37" t="s">
        <v>2768</v>
      </c>
      <c r="E79" s="37"/>
      <c r="F79" s="37" t="s">
        <v>2769</v>
      </c>
      <c r="G79" s="37" t="s">
        <v>2768</v>
      </c>
      <c r="H79" s="35"/>
      <c r="J79" s="35"/>
      <c r="K79" s="35"/>
      <c r="L79" s="35"/>
      <c r="M79" s="35"/>
      <c r="N79" s="35"/>
      <c r="O79" s="35"/>
      <c r="P79" s="40" t="s">
        <v>2914</v>
      </c>
      <c r="Q79" s="41" t="s">
        <v>2915</v>
      </c>
    </row>
    <row r="80" spans="1:17">
      <c r="A80" s="36" t="s">
        <v>376</v>
      </c>
      <c r="B80" s="36" t="s">
        <v>2923</v>
      </c>
      <c r="C80" s="37" t="s">
        <v>2769</v>
      </c>
      <c r="D80" s="37" t="s">
        <v>2768</v>
      </c>
      <c r="E80" s="37"/>
      <c r="F80" s="37" t="s">
        <v>2769</v>
      </c>
      <c r="G80" s="37" t="s">
        <v>2768</v>
      </c>
      <c r="H80" s="35"/>
      <c r="J80" s="35"/>
      <c r="K80" s="35"/>
      <c r="L80" s="35"/>
      <c r="M80" s="35"/>
      <c r="N80" s="35"/>
      <c r="O80" s="35"/>
      <c r="P80" s="40" t="s">
        <v>2918</v>
      </c>
      <c r="Q80" s="41" t="s">
        <v>2919</v>
      </c>
    </row>
    <row r="81" spans="1:17">
      <c r="A81" s="36" t="s">
        <v>380</v>
      </c>
      <c r="B81" s="36" t="s">
        <v>2925</v>
      </c>
      <c r="C81" s="37" t="s">
        <v>2769</v>
      </c>
      <c r="D81" s="37" t="s">
        <v>2768</v>
      </c>
      <c r="E81" s="37"/>
      <c r="F81" s="37" t="s">
        <v>2769</v>
      </c>
      <c r="G81" s="37" t="s">
        <v>2768</v>
      </c>
      <c r="H81" s="35"/>
      <c r="J81" s="35"/>
      <c r="K81" s="35"/>
      <c r="L81" s="35"/>
      <c r="M81" s="35"/>
      <c r="N81" s="35"/>
      <c r="O81" s="35"/>
      <c r="P81" s="40" t="s">
        <v>2921</v>
      </c>
      <c r="Q81" s="41" t="s">
        <v>2922</v>
      </c>
    </row>
    <row r="82" spans="1:17">
      <c r="A82" s="36" t="s">
        <v>384</v>
      </c>
      <c r="B82" s="36" t="s">
        <v>2928</v>
      </c>
      <c r="C82" s="37" t="s">
        <v>2769</v>
      </c>
      <c r="D82" s="37" t="s">
        <v>2768</v>
      </c>
      <c r="E82" s="37"/>
      <c r="F82" s="37" t="s">
        <v>2769</v>
      </c>
      <c r="G82" s="37" t="s">
        <v>2768</v>
      </c>
      <c r="H82" s="35"/>
      <c r="J82" s="35"/>
      <c r="K82" s="35"/>
      <c r="L82" s="35"/>
      <c r="M82" s="35"/>
      <c r="N82" s="35"/>
      <c r="O82" s="35"/>
      <c r="P82" s="40" t="s">
        <v>2924</v>
      </c>
      <c r="Q82" s="41" t="s">
        <v>2252</v>
      </c>
    </row>
    <row r="83" spans="1:17">
      <c r="A83" s="36" t="s">
        <v>2931</v>
      </c>
      <c r="B83" s="36" t="s">
        <v>2932</v>
      </c>
      <c r="C83" s="37"/>
      <c r="D83" s="37"/>
      <c r="E83" s="37"/>
      <c r="F83" s="37"/>
      <c r="G83" s="37"/>
      <c r="H83" s="35"/>
      <c r="J83" s="35"/>
      <c r="K83" s="35"/>
      <c r="L83" s="35"/>
      <c r="M83" s="35"/>
      <c r="N83" s="35"/>
      <c r="O83" s="35"/>
      <c r="P83" s="40" t="s">
        <v>2926</v>
      </c>
      <c r="Q83" s="41" t="s">
        <v>2927</v>
      </c>
    </row>
    <row r="84" spans="1:17">
      <c r="A84" s="36" t="s">
        <v>388</v>
      </c>
      <c r="B84" s="36" t="s">
        <v>2935</v>
      </c>
      <c r="C84" s="37" t="s">
        <v>2769</v>
      </c>
      <c r="D84" s="37" t="s">
        <v>2768</v>
      </c>
      <c r="E84" s="37"/>
      <c r="F84" s="37" t="s">
        <v>2769</v>
      </c>
      <c r="G84" s="37" t="s">
        <v>2768</v>
      </c>
      <c r="H84" s="35"/>
      <c r="J84" s="35"/>
      <c r="K84" s="35"/>
      <c r="L84" s="35"/>
      <c r="M84" s="35"/>
      <c r="N84" s="35"/>
      <c r="O84" s="35"/>
      <c r="P84" s="40" t="s">
        <v>2929</v>
      </c>
      <c r="Q84" s="41" t="s">
        <v>2930</v>
      </c>
    </row>
    <row r="85" spans="1:17">
      <c r="A85" s="36" t="s">
        <v>392</v>
      </c>
      <c r="B85" s="36" t="s">
        <v>2938</v>
      </c>
      <c r="C85" s="37" t="s">
        <v>2769</v>
      </c>
      <c r="D85" s="37" t="s">
        <v>2768</v>
      </c>
      <c r="E85" s="37"/>
      <c r="F85" s="37" t="s">
        <v>2769</v>
      </c>
      <c r="G85" s="37" t="s">
        <v>2768</v>
      </c>
      <c r="H85" s="35"/>
      <c r="J85" s="35"/>
      <c r="K85" s="35"/>
      <c r="L85" s="35"/>
      <c r="M85" s="35"/>
      <c r="N85" s="35"/>
      <c r="O85" s="35"/>
      <c r="P85" s="40" t="s">
        <v>2933</v>
      </c>
      <c r="Q85" s="41" t="s">
        <v>2934</v>
      </c>
    </row>
    <row r="86" spans="1:17">
      <c r="A86" s="36" t="s">
        <v>396</v>
      </c>
      <c r="B86" s="36" t="s">
        <v>2939</v>
      </c>
      <c r="C86" s="37" t="s">
        <v>2769</v>
      </c>
      <c r="D86" s="37" t="s">
        <v>2768</v>
      </c>
      <c r="E86" s="37"/>
      <c r="F86" s="37" t="s">
        <v>2769</v>
      </c>
      <c r="G86" s="37" t="s">
        <v>2768</v>
      </c>
      <c r="H86" s="35"/>
      <c r="J86" s="35"/>
      <c r="K86" s="35"/>
      <c r="L86" s="35"/>
      <c r="M86" s="35"/>
      <c r="N86" s="35"/>
      <c r="O86" s="35"/>
      <c r="P86" s="40" t="s">
        <v>2936</v>
      </c>
      <c r="Q86" s="41" t="s">
        <v>2937</v>
      </c>
    </row>
    <row r="87" spans="1:17">
      <c r="A87" s="36" t="s">
        <v>400</v>
      </c>
      <c r="B87" s="36" t="s">
        <v>2942</v>
      </c>
      <c r="C87" s="37" t="s">
        <v>2769</v>
      </c>
      <c r="D87" s="37" t="s">
        <v>2768</v>
      </c>
      <c r="E87" s="37"/>
      <c r="F87" s="37" t="s">
        <v>2769</v>
      </c>
      <c r="G87" s="37" t="s">
        <v>2768</v>
      </c>
      <c r="H87" s="35"/>
      <c r="J87" s="35"/>
      <c r="K87" s="35"/>
      <c r="L87" s="35"/>
      <c r="M87" s="35"/>
      <c r="N87" s="35"/>
      <c r="O87" s="35"/>
      <c r="P87" s="40" t="s">
        <v>2936</v>
      </c>
      <c r="Q87" s="41" t="s">
        <v>2937</v>
      </c>
    </row>
    <row r="88" spans="1:17">
      <c r="A88" s="36" t="s">
        <v>404</v>
      </c>
      <c r="B88" s="36" t="s">
        <v>2943</v>
      </c>
      <c r="C88" s="37" t="s">
        <v>2769</v>
      </c>
      <c r="D88" s="37" t="s">
        <v>2768</v>
      </c>
      <c r="E88" s="37"/>
      <c r="F88" s="37" t="s">
        <v>2769</v>
      </c>
      <c r="G88" s="37" t="s">
        <v>2768</v>
      </c>
      <c r="H88" s="35"/>
      <c r="J88" s="35"/>
      <c r="K88" s="35"/>
      <c r="L88" s="35"/>
      <c r="M88" s="35"/>
      <c r="N88" s="35"/>
      <c r="O88" s="35"/>
      <c r="P88" s="40" t="s">
        <v>2940</v>
      </c>
      <c r="Q88" s="41" t="s">
        <v>2941</v>
      </c>
    </row>
    <row r="89" spans="1:17">
      <c r="A89" s="36" t="s">
        <v>2946</v>
      </c>
      <c r="B89" s="36" t="s">
        <v>2947</v>
      </c>
      <c r="C89" s="37"/>
      <c r="D89" s="37"/>
      <c r="E89" s="37"/>
      <c r="F89" s="37"/>
      <c r="G89" s="37"/>
      <c r="H89" s="35"/>
      <c r="J89" s="35"/>
      <c r="K89" s="35"/>
      <c r="L89" s="35"/>
      <c r="M89" s="35"/>
      <c r="N89" s="35"/>
      <c r="O89" s="35"/>
      <c r="P89" s="40" t="s">
        <v>2736</v>
      </c>
      <c r="Q89" s="41" t="s">
        <v>2737</v>
      </c>
    </row>
    <row r="90" spans="1:17">
      <c r="A90" s="36" t="s">
        <v>408</v>
      </c>
      <c r="B90" s="36" t="s">
        <v>2948</v>
      </c>
      <c r="C90" s="37" t="s">
        <v>392</v>
      </c>
      <c r="D90" s="37" t="s">
        <v>2949</v>
      </c>
      <c r="E90" s="37"/>
      <c r="F90" s="37" t="s">
        <v>392</v>
      </c>
      <c r="G90" s="37" t="s">
        <v>2949</v>
      </c>
      <c r="H90" s="35"/>
      <c r="J90" s="35"/>
      <c r="K90" s="35"/>
      <c r="L90" s="35"/>
      <c r="M90" s="35"/>
      <c r="N90" s="35"/>
      <c r="O90" s="35"/>
      <c r="P90" s="40" t="s">
        <v>2944</v>
      </c>
      <c r="Q90" s="41" t="s">
        <v>2945</v>
      </c>
    </row>
    <row r="91" spans="1:17">
      <c r="A91" s="36" t="s">
        <v>412</v>
      </c>
      <c r="B91" s="36" t="s">
        <v>2952</v>
      </c>
      <c r="C91" s="37" t="s">
        <v>392</v>
      </c>
      <c r="D91" s="37" t="s">
        <v>2949</v>
      </c>
      <c r="E91" s="37"/>
      <c r="F91" s="37" t="s">
        <v>392</v>
      </c>
      <c r="G91" s="37" t="s">
        <v>2949</v>
      </c>
      <c r="H91" s="35"/>
      <c r="J91" s="35"/>
      <c r="K91" s="35"/>
      <c r="L91" s="35"/>
      <c r="M91" s="35"/>
      <c r="N91" s="35"/>
      <c r="O91" s="35"/>
      <c r="P91" s="40" t="s">
        <v>2944</v>
      </c>
      <c r="Q91" s="41" t="s">
        <v>2945</v>
      </c>
    </row>
    <row r="92" spans="1:17">
      <c r="A92" s="36" t="s">
        <v>416</v>
      </c>
      <c r="B92" s="36" t="s">
        <v>2953</v>
      </c>
      <c r="C92" s="37" t="s">
        <v>392</v>
      </c>
      <c r="D92" s="37" t="s">
        <v>2949</v>
      </c>
      <c r="E92" s="37"/>
      <c r="F92" s="37" t="s">
        <v>392</v>
      </c>
      <c r="G92" s="37" t="s">
        <v>2949</v>
      </c>
      <c r="H92" s="35"/>
      <c r="J92" s="35"/>
      <c r="K92" s="35"/>
      <c r="L92" s="35"/>
      <c r="M92" s="35"/>
      <c r="N92" s="35"/>
      <c r="O92" s="35"/>
      <c r="P92" s="40" t="s">
        <v>2950</v>
      </c>
      <c r="Q92" s="41" t="s">
        <v>2951</v>
      </c>
    </row>
    <row r="93" spans="1:17">
      <c r="A93" s="36" t="s">
        <v>420</v>
      </c>
      <c r="B93" s="36" t="s">
        <v>2956</v>
      </c>
      <c r="C93" s="37" t="s">
        <v>392</v>
      </c>
      <c r="D93" s="37" t="s">
        <v>2949</v>
      </c>
      <c r="E93" s="37"/>
      <c r="F93" s="37" t="s">
        <v>392</v>
      </c>
      <c r="G93" s="37" t="s">
        <v>2949</v>
      </c>
      <c r="H93" s="35"/>
      <c r="J93" s="35"/>
      <c r="K93" s="35"/>
      <c r="L93" s="35"/>
      <c r="M93" s="35"/>
      <c r="N93" s="35"/>
      <c r="O93" s="35"/>
      <c r="P93" s="40" t="s">
        <v>2950</v>
      </c>
      <c r="Q93" s="41" t="s">
        <v>2951</v>
      </c>
    </row>
    <row r="94" spans="1:17">
      <c r="A94" s="36" t="s">
        <v>424</v>
      </c>
      <c r="B94" s="36" t="s">
        <v>2959</v>
      </c>
      <c r="C94" s="37" t="s">
        <v>2893</v>
      </c>
      <c r="D94" s="37" t="s">
        <v>2892</v>
      </c>
      <c r="E94" s="37"/>
      <c r="F94" s="37" t="s">
        <v>2893</v>
      </c>
      <c r="G94" s="37" t="s">
        <v>2892</v>
      </c>
      <c r="H94" s="35"/>
      <c r="J94" s="35"/>
      <c r="K94" s="35"/>
      <c r="L94" s="35"/>
      <c r="M94" s="35"/>
      <c r="N94" s="35"/>
      <c r="O94" s="35"/>
      <c r="P94" s="40" t="s">
        <v>2954</v>
      </c>
      <c r="Q94" s="41" t="s">
        <v>2955</v>
      </c>
    </row>
    <row r="95" spans="1:17">
      <c r="A95" s="36" t="s">
        <v>428</v>
      </c>
      <c r="B95" s="36" t="s">
        <v>2962</v>
      </c>
      <c r="C95" s="37" t="s">
        <v>2893</v>
      </c>
      <c r="D95" s="37" t="s">
        <v>2892</v>
      </c>
      <c r="E95" s="37"/>
      <c r="F95" s="37" t="s">
        <v>2893</v>
      </c>
      <c r="G95" s="37" t="s">
        <v>2892</v>
      </c>
      <c r="H95" s="35"/>
      <c r="J95" s="35"/>
      <c r="K95" s="35"/>
      <c r="L95" s="35"/>
      <c r="M95" s="35"/>
      <c r="N95" s="35"/>
      <c r="O95" s="35"/>
      <c r="P95" s="40" t="s">
        <v>2957</v>
      </c>
      <c r="Q95" s="41" t="s">
        <v>2958</v>
      </c>
    </row>
    <row r="96" spans="1:17">
      <c r="A96" s="36" t="s">
        <v>432</v>
      </c>
      <c r="B96" s="36" t="s">
        <v>2963</v>
      </c>
      <c r="C96" s="37" t="s">
        <v>2893</v>
      </c>
      <c r="D96" s="37" t="s">
        <v>2892</v>
      </c>
      <c r="E96" s="37"/>
      <c r="F96" s="37" t="s">
        <v>2893</v>
      </c>
      <c r="G96" s="37" t="s">
        <v>2892</v>
      </c>
      <c r="H96" s="35"/>
      <c r="J96" s="35"/>
      <c r="K96" s="35"/>
      <c r="L96" s="35"/>
      <c r="M96" s="35"/>
      <c r="N96" s="35"/>
      <c r="O96" s="35"/>
      <c r="P96" s="40" t="s">
        <v>2960</v>
      </c>
      <c r="Q96" s="41" t="s">
        <v>2961</v>
      </c>
    </row>
    <row r="97" spans="1:17">
      <c r="A97" s="36" t="s">
        <v>436</v>
      </c>
      <c r="B97" s="36" t="s">
        <v>2964</v>
      </c>
      <c r="C97" s="37" t="s">
        <v>2893</v>
      </c>
      <c r="D97" s="37" t="s">
        <v>2892</v>
      </c>
      <c r="E97" s="37"/>
      <c r="F97" s="37" t="s">
        <v>2893</v>
      </c>
      <c r="G97" s="37" t="s">
        <v>2892</v>
      </c>
      <c r="H97" s="35"/>
      <c r="J97" s="35"/>
      <c r="K97" s="35"/>
      <c r="L97" s="35"/>
      <c r="M97" s="35"/>
      <c r="N97" s="35"/>
      <c r="O97" s="35"/>
      <c r="P97" s="40" t="s">
        <v>2652</v>
      </c>
      <c r="Q97" s="41" t="s">
        <v>2653</v>
      </c>
    </row>
    <row r="98" spans="1:17">
      <c r="A98" s="36" t="s">
        <v>440</v>
      </c>
      <c r="B98" s="36" t="s">
        <v>2965</v>
      </c>
      <c r="C98" s="37" t="s">
        <v>2893</v>
      </c>
      <c r="D98" s="37" t="s">
        <v>2892</v>
      </c>
      <c r="E98" s="37"/>
      <c r="F98" s="37" t="s">
        <v>2893</v>
      </c>
      <c r="G98" s="37" t="s">
        <v>2892</v>
      </c>
      <c r="H98" s="35"/>
      <c r="J98" s="35"/>
      <c r="K98" s="35"/>
      <c r="L98" s="35"/>
      <c r="M98" s="35"/>
      <c r="N98" s="35"/>
      <c r="O98" s="35"/>
      <c r="P98" s="40" t="s">
        <v>2741</v>
      </c>
      <c r="Q98" s="41" t="s">
        <v>2742</v>
      </c>
    </row>
    <row r="99" spans="1:17">
      <c r="A99" s="36" t="s">
        <v>444</v>
      </c>
      <c r="B99" s="36" t="s">
        <v>2966</v>
      </c>
      <c r="C99" s="37" t="s">
        <v>2612</v>
      </c>
      <c r="D99" s="37" t="s">
        <v>2611</v>
      </c>
      <c r="E99" s="37"/>
      <c r="F99" s="37" t="s">
        <v>4787</v>
      </c>
      <c r="G99" s="37" t="s">
        <v>4786</v>
      </c>
      <c r="H99" s="35"/>
      <c r="J99" s="35"/>
      <c r="K99" s="35"/>
      <c r="L99" s="35"/>
      <c r="M99" s="35"/>
      <c r="N99" s="35"/>
      <c r="O99" s="35"/>
      <c r="P99" s="40" t="s">
        <v>2746</v>
      </c>
      <c r="Q99" s="41" t="s">
        <v>2747</v>
      </c>
    </row>
    <row r="100" spans="1:17">
      <c r="A100" s="36" t="s">
        <v>448</v>
      </c>
      <c r="B100" s="36" t="s">
        <v>2969</v>
      </c>
      <c r="C100" s="37" t="s">
        <v>2612</v>
      </c>
      <c r="D100" s="37" t="s">
        <v>2611</v>
      </c>
      <c r="E100" s="37"/>
      <c r="F100" s="37" t="s">
        <v>4787</v>
      </c>
      <c r="G100" s="37" t="s">
        <v>4786</v>
      </c>
      <c r="H100" s="35"/>
      <c r="J100" s="35"/>
      <c r="K100" s="35"/>
      <c r="L100" s="35"/>
      <c r="M100" s="35"/>
      <c r="N100" s="35"/>
      <c r="O100" s="35"/>
      <c r="P100" s="40" t="s">
        <v>2657</v>
      </c>
      <c r="Q100" s="41" t="s">
        <v>2658</v>
      </c>
    </row>
    <row r="101" spans="1:17">
      <c r="A101" s="36" t="s">
        <v>452</v>
      </c>
      <c r="B101" s="36" t="s">
        <v>2972</v>
      </c>
      <c r="C101" s="37" t="s">
        <v>2893</v>
      </c>
      <c r="D101" s="37" t="s">
        <v>2892</v>
      </c>
      <c r="E101" s="37"/>
      <c r="F101" s="37" t="s">
        <v>2893</v>
      </c>
      <c r="G101" s="37" t="s">
        <v>2892</v>
      </c>
      <c r="H101" s="35"/>
      <c r="J101" s="35"/>
      <c r="K101" s="35"/>
      <c r="L101" s="35"/>
      <c r="M101" s="35"/>
      <c r="N101" s="35"/>
      <c r="O101" s="35"/>
      <c r="P101" s="40" t="s">
        <v>2967</v>
      </c>
      <c r="Q101" s="41" t="s">
        <v>2968</v>
      </c>
    </row>
    <row r="102" spans="1:17">
      <c r="A102" s="36" t="s">
        <v>456</v>
      </c>
      <c r="B102" s="36" t="s">
        <v>2975</v>
      </c>
      <c r="C102" s="37" t="s">
        <v>392</v>
      </c>
      <c r="D102" s="37" t="s">
        <v>2949</v>
      </c>
      <c r="E102" s="37"/>
      <c r="F102" s="37" t="s">
        <v>392</v>
      </c>
      <c r="G102" s="37" t="s">
        <v>2949</v>
      </c>
      <c r="H102" s="35"/>
      <c r="J102" s="35"/>
      <c r="K102" s="35"/>
      <c r="L102" s="35"/>
      <c r="M102" s="35"/>
      <c r="N102" s="35"/>
      <c r="O102" s="35"/>
      <c r="P102" s="40" t="s">
        <v>2970</v>
      </c>
      <c r="Q102" s="41" t="s">
        <v>2971</v>
      </c>
    </row>
    <row r="103" spans="1:17">
      <c r="A103" s="36" t="s">
        <v>2978</v>
      </c>
      <c r="B103" s="36" t="s">
        <v>2979</v>
      </c>
      <c r="C103" s="37"/>
      <c r="D103" s="37"/>
      <c r="E103" s="37"/>
      <c r="F103" s="37"/>
      <c r="G103" s="37"/>
      <c r="H103" s="35"/>
      <c r="J103" s="35"/>
      <c r="K103" s="35"/>
      <c r="L103" s="35"/>
      <c r="M103" s="35"/>
      <c r="N103" s="35"/>
      <c r="O103" s="35"/>
      <c r="P103" s="40" t="s">
        <v>2973</v>
      </c>
      <c r="Q103" s="41" t="s">
        <v>2974</v>
      </c>
    </row>
    <row r="104" spans="1:17">
      <c r="A104" s="36" t="s">
        <v>2980</v>
      </c>
      <c r="B104" s="36" t="s">
        <v>2981</v>
      </c>
      <c r="C104" s="37"/>
      <c r="D104" s="37"/>
      <c r="E104" s="37"/>
      <c r="F104" s="37"/>
      <c r="G104" s="37"/>
      <c r="H104" s="35"/>
      <c r="J104" s="35"/>
      <c r="K104" s="35"/>
      <c r="L104" s="35"/>
      <c r="M104" s="35"/>
      <c r="N104" s="35"/>
      <c r="O104" s="35"/>
      <c r="P104" s="40" t="s">
        <v>2973</v>
      </c>
      <c r="Q104" s="41" t="s">
        <v>2974</v>
      </c>
    </row>
    <row r="105" spans="1:17">
      <c r="A105" s="36" t="s">
        <v>460</v>
      </c>
      <c r="B105" s="36" t="s">
        <v>2984</v>
      </c>
      <c r="C105" s="37" t="s">
        <v>2688</v>
      </c>
      <c r="D105" s="37" t="s">
        <v>2687</v>
      </c>
      <c r="E105" s="37"/>
      <c r="F105" s="37" t="s">
        <v>2688</v>
      </c>
      <c r="G105" s="37" t="s">
        <v>2687</v>
      </c>
      <c r="H105" s="35"/>
      <c r="J105" s="35"/>
      <c r="K105" s="35"/>
      <c r="L105" s="35"/>
      <c r="M105" s="35"/>
      <c r="N105" s="35"/>
      <c r="O105" s="35"/>
      <c r="P105" s="40" t="s">
        <v>2976</v>
      </c>
      <c r="Q105" s="41" t="s">
        <v>2977</v>
      </c>
    </row>
    <row r="106" spans="1:17">
      <c r="A106" s="36" t="s">
        <v>464</v>
      </c>
      <c r="B106" s="36" t="s">
        <v>2987</v>
      </c>
      <c r="C106" s="37" t="s">
        <v>2988</v>
      </c>
      <c r="D106" s="37" t="s">
        <v>2989</v>
      </c>
      <c r="E106" s="37"/>
      <c r="F106" s="37" t="s">
        <v>2988</v>
      </c>
      <c r="G106" s="37" t="s">
        <v>2989</v>
      </c>
      <c r="H106" s="35"/>
      <c r="J106" s="35"/>
      <c r="K106" s="35"/>
      <c r="L106" s="35"/>
      <c r="M106" s="35"/>
      <c r="N106" s="35"/>
      <c r="O106" s="35"/>
      <c r="P106" s="40" t="s">
        <v>2976</v>
      </c>
      <c r="Q106" s="41" t="s">
        <v>2977</v>
      </c>
    </row>
    <row r="107" spans="1:17">
      <c r="A107" s="36" t="s">
        <v>468</v>
      </c>
      <c r="B107" s="36" t="s">
        <v>2992</v>
      </c>
      <c r="C107" s="37" t="s">
        <v>2993</v>
      </c>
      <c r="D107" s="37" t="s">
        <v>2994</v>
      </c>
      <c r="E107" s="37"/>
      <c r="F107" s="37" t="s">
        <v>2993</v>
      </c>
      <c r="G107" s="37" t="s">
        <v>2994</v>
      </c>
      <c r="H107" s="35"/>
      <c r="J107" s="35"/>
      <c r="K107" s="35"/>
      <c r="L107" s="35"/>
      <c r="M107" s="35"/>
      <c r="N107" s="35"/>
      <c r="O107" s="35"/>
      <c r="P107" s="40" t="s">
        <v>2664</v>
      </c>
      <c r="Q107" s="41" t="s">
        <v>2665</v>
      </c>
    </row>
    <row r="108" spans="1:17">
      <c r="A108" s="36" t="s">
        <v>472</v>
      </c>
      <c r="B108" s="36" t="s">
        <v>2997</v>
      </c>
      <c r="C108" s="37" t="s">
        <v>2688</v>
      </c>
      <c r="D108" s="37" t="s">
        <v>2687</v>
      </c>
      <c r="E108" s="37"/>
      <c r="F108" s="37" t="s">
        <v>2688</v>
      </c>
      <c r="G108" s="37" t="s">
        <v>2687</v>
      </c>
      <c r="H108" s="35"/>
      <c r="J108" s="35"/>
      <c r="K108" s="35"/>
      <c r="L108" s="35"/>
      <c r="M108" s="35"/>
      <c r="N108" s="35"/>
      <c r="O108" s="35"/>
      <c r="P108" s="41" t="s">
        <v>2982</v>
      </c>
      <c r="Q108" s="41" t="s">
        <v>2983</v>
      </c>
    </row>
    <row r="109" spans="1:17">
      <c r="A109" s="36" t="s">
        <v>476</v>
      </c>
      <c r="B109" s="36" t="s">
        <v>3000</v>
      </c>
      <c r="C109" s="37" t="s">
        <v>2688</v>
      </c>
      <c r="D109" s="37" t="s">
        <v>2687</v>
      </c>
      <c r="E109" s="37"/>
      <c r="F109" s="37" t="s">
        <v>2688</v>
      </c>
      <c r="G109" s="37" t="s">
        <v>2687</v>
      </c>
      <c r="H109" s="35"/>
      <c r="J109" s="35"/>
      <c r="K109" s="35"/>
      <c r="L109" s="35"/>
      <c r="M109" s="35"/>
      <c r="N109" s="35"/>
      <c r="O109" s="35"/>
      <c r="P109" s="41" t="s">
        <v>2985</v>
      </c>
      <c r="Q109" s="41" t="s">
        <v>2986</v>
      </c>
    </row>
    <row r="110" spans="1:17">
      <c r="A110" s="36" t="s">
        <v>3003</v>
      </c>
      <c r="B110" s="36" t="s">
        <v>3004</v>
      </c>
      <c r="C110" s="37"/>
      <c r="D110" s="37"/>
      <c r="E110" s="37"/>
      <c r="F110" s="37"/>
      <c r="G110" s="37"/>
      <c r="H110" s="35"/>
      <c r="J110" s="35"/>
      <c r="K110" s="35"/>
      <c r="L110" s="35"/>
      <c r="M110" s="35"/>
      <c r="N110" s="35"/>
      <c r="O110" s="35"/>
      <c r="P110" s="41" t="s">
        <v>2990</v>
      </c>
      <c r="Q110" s="41" t="s">
        <v>2991</v>
      </c>
    </row>
    <row r="111" spans="1:17">
      <c r="A111" s="36" t="s">
        <v>480</v>
      </c>
      <c r="B111" s="36" t="s">
        <v>3007</v>
      </c>
      <c r="C111" s="37" t="s">
        <v>2999</v>
      </c>
      <c r="D111" s="37" t="s">
        <v>2998</v>
      </c>
      <c r="E111" s="37"/>
      <c r="F111" s="37" t="s">
        <v>2999</v>
      </c>
      <c r="G111" s="37" t="s">
        <v>2998</v>
      </c>
      <c r="H111" s="35"/>
      <c r="J111" s="35"/>
      <c r="K111" s="35"/>
      <c r="L111" s="35"/>
      <c r="M111" s="35"/>
      <c r="N111" s="35"/>
      <c r="O111" s="35"/>
      <c r="P111" s="41" t="s">
        <v>2995</v>
      </c>
      <c r="Q111" s="41" t="s">
        <v>2996</v>
      </c>
    </row>
    <row r="112" spans="1:17">
      <c r="A112" s="36" t="s">
        <v>484</v>
      </c>
      <c r="B112" s="36" t="s">
        <v>3008</v>
      </c>
      <c r="C112" s="37" t="s">
        <v>2849</v>
      </c>
      <c r="D112" s="37" t="s">
        <v>2848</v>
      </c>
      <c r="E112" s="37"/>
      <c r="F112" s="37" t="s">
        <v>2849</v>
      </c>
      <c r="G112" s="37" t="s">
        <v>2848</v>
      </c>
      <c r="H112" s="35"/>
      <c r="J112" s="35"/>
      <c r="K112" s="35"/>
      <c r="L112" s="35"/>
      <c r="M112" s="35"/>
      <c r="N112" s="35"/>
      <c r="O112" s="35"/>
      <c r="P112" s="41" t="s">
        <v>2998</v>
      </c>
      <c r="Q112" s="41" t="s">
        <v>2999</v>
      </c>
    </row>
    <row r="113" spans="1:17">
      <c r="A113" s="36" t="s">
        <v>488</v>
      </c>
      <c r="B113" s="36" t="s">
        <v>3011</v>
      </c>
      <c r="C113" s="37" t="s">
        <v>2688</v>
      </c>
      <c r="D113" s="37" t="s">
        <v>2687</v>
      </c>
      <c r="E113" s="37"/>
      <c r="F113" s="37" t="s">
        <v>2688</v>
      </c>
      <c r="G113" s="37" t="s">
        <v>2687</v>
      </c>
      <c r="H113" s="35"/>
      <c r="J113" s="35"/>
      <c r="K113" s="35"/>
      <c r="L113" s="35"/>
      <c r="M113" s="35"/>
      <c r="N113" s="35"/>
      <c r="O113" s="35"/>
      <c r="P113" s="41" t="s">
        <v>3001</v>
      </c>
      <c r="Q113" s="41" t="s">
        <v>3002</v>
      </c>
    </row>
    <row r="114" spans="1:17">
      <c r="A114" s="36" t="s">
        <v>492</v>
      </c>
      <c r="B114" s="36" t="s">
        <v>3014</v>
      </c>
      <c r="C114" s="37" t="s">
        <v>2849</v>
      </c>
      <c r="D114" s="37" t="s">
        <v>2848</v>
      </c>
      <c r="E114" s="37"/>
      <c r="F114" s="37" t="s">
        <v>2849</v>
      </c>
      <c r="G114" s="37" t="s">
        <v>2848</v>
      </c>
      <c r="H114" s="35"/>
      <c r="J114" s="35"/>
      <c r="K114" s="35"/>
      <c r="L114" s="35"/>
      <c r="M114" s="35"/>
      <c r="N114" s="35"/>
      <c r="O114" s="35"/>
      <c r="P114" s="41" t="s">
        <v>3005</v>
      </c>
      <c r="Q114" s="41" t="s">
        <v>3006</v>
      </c>
    </row>
    <row r="115" spans="1:17">
      <c r="A115" s="36" t="s">
        <v>3017</v>
      </c>
      <c r="B115" s="36" t="s">
        <v>3018</v>
      </c>
      <c r="C115" s="37"/>
      <c r="D115" s="37"/>
      <c r="E115" s="37"/>
      <c r="F115" s="37"/>
      <c r="G115" s="37"/>
      <c r="H115" s="35"/>
      <c r="J115" s="35"/>
      <c r="K115" s="35"/>
      <c r="L115" s="35"/>
      <c r="M115" s="35"/>
      <c r="N115" s="35"/>
      <c r="O115" s="35"/>
      <c r="P115" s="41" t="s">
        <v>2670</v>
      </c>
      <c r="Q115" s="41" t="s">
        <v>2538</v>
      </c>
    </row>
    <row r="116" spans="1:17">
      <c r="A116" s="36" t="s">
        <v>496</v>
      </c>
      <c r="B116" s="36" t="s">
        <v>3019</v>
      </c>
      <c r="C116" s="37" t="s">
        <v>2843</v>
      </c>
      <c r="D116" s="37" t="s">
        <v>2842</v>
      </c>
      <c r="E116" s="37"/>
      <c r="F116" s="37" t="s">
        <v>2843</v>
      </c>
      <c r="G116" s="37" t="s">
        <v>2842</v>
      </c>
      <c r="H116" s="35"/>
      <c r="J116" s="35"/>
      <c r="K116" s="35"/>
      <c r="L116" s="35"/>
      <c r="M116" s="35"/>
      <c r="N116" s="35"/>
      <c r="O116" s="35"/>
      <c r="P116" s="41" t="s">
        <v>3009</v>
      </c>
      <c r="Q116" s="41" t="s">
        <v>3010</v>
      </c>
    </row>
    <row r="117" spans="1:17">
      <c r="A117" s="36" t="s">
        <v>500</v>
      </c>
      <c r="B117" s="36" t="s">
        <v>3022</v>
      </c>
      <c r="C117" s="37" t="s">
        <v>3023</v>
      </c>
      <c r="D117" s="37" t="s">
        <v>3024</v>
      </c>
      <c r="E117" s="37"/>
      <c r="F117" s="37" t="s">
        <v>3023</v>
      </c>
      <c r="G117" s="37" t="s">
        <v>3024</v>
      </c>
      <c r="H117" s="35"/>
      <c r="J117" s="35"/>
      <c r="K117" s="35"/>
      <c r="L117" s="35"/>
      <c r="M117" s="35"/>
      <c r="N117" s="35"/>
      <c r="O117" s="35"/>
      <c r="P117" s="41" t="s">
        <v>3012</v>
      </c>
      <c r="Q117" s="41" t="s">
        <v>3013</v>
      </c>
    </row>
    <row r="118" spans="1:17">
      <c r="A118" s="36" t="s">
        <v>504</v>
      </c>
      <c r="B118" s="36" t="s">
        <v>3025</v>
      </c>
      <c r="C118" s="37" t="s">
        <v>3026</v>
      </c>
      <c r="D118" s="37" t="s">
        <v>3027</v>
      </c>
      <c r="E118" s="37"/>
      <c r="F118" s="37" t="s">
        <v>3026</v>
      </c>
      <c r="G118" s="37" t="s">
        <v>3027</v>
      </c>
      <c r="H118" s="35"/>
      <c r="J118" s="35"/>
      <c r="K118" s="35"/>
      <c r="L118" s="35"/>
      <c r="M118" s="35"/>
      <c r="N118" s="35"/>
      <c r="O118" s="35"/>
      <c r="P118" s="41" t="s">
        <v>3015</v>
      </c>
      <c r="Q118" s="41" t="s">
        <v>3016</v>
      </c>
    </row>
    <row r="119" spans="1:17">
      <c r="A119" s="36" t="s">
        <v>508</v>
      </c>
      <c r="B119" s="36" t="s">
        <v>3028</v>
      </c>
      <c r="C119" s="37" t="s">
        <v>3029</v>
      </c>
      <c r="D119" s="37" t="s">
        <v>3030</v>
      </c>
      <c r="E119" s="37"/>
      <c r="F119" s="37" t="s">
        <v>3029</v>
      </c>
      <c r="G119" s="37" t="s">
        <v>3030</v>
      </c>
      <c r="H119" s="35"/>
      <c r="J119" s="35"/>
      <c r="K119" s="35"/>
      <c r="L119" s="35"/>
      <c r="M119" s="35"/>
      <c r="N119" s="35"/>
      <c r="O119" s="35"/>
      <c r="P119" s="41" t="s">
        <v>2776</v>
      </c>
      <c r="Q119" s="41" t="s">
        <v>2777</v>
      </c>
    </row>
    <row r="120" spans="1:17">
      <c r="A120" s="36" t="s">
        <v>512</v>
      </c>
      <c r="B120" s="36" t="s">
        <v>3031</v>
      </c>
      <c r="C120" s="37" t="s">
        <v>3032</v>
      </c>
      <c r="D120" s="37" t="s">
        <v>3033</v>
      </c>
      <c r="E120" s="37"/>
      <c r="F120" s="37" t="s">
        <v>3032</v>
      </c>
      <c r="G120" s="37" t="s">
        <v>3033</v>
      </c>
      <c r="H120" s="35"/>
      <c r="J120" s="35"/>
      <c r="K120" s="35"/>
      <c r="L120" s="35"/>
      <c r="M120" s="35"/>
      <c r="N120" s="35"/>
      <c r="O120" s="35"/>
      <c r="P120" s="41" t="s">
        <v>3020</v>
      </c>
      <c r="Q120" s="41" t="s">
        <v>3021</v>
      </c>
    </row>
    <row r="121" spans="1:17">
      <c r="A121" s="36" t="s">
        <v>516</v>
      </c>
      <c r="B121" s="36" t="s">
        <v>3036</v>
      </c>
      <c r="C121" s="37" t="s">
        <v>372</v>
      </c>
      <c r="D121" s="37" t="s">
        <v>3037</v>
      </c>
      <c r="E121" s="37"/>
      <c r="F121" s="37" t="s">
        <v>372</v>
      </c>
      <c r="G121" s="37" t="s">
        <v>3037</v>
      </c>
      <c r="H121" s="35"/>
      <c r="J121" s="35"/>
      <c r="K121" s="35"/>
      <c r="L121" s="35"/>
      <c r="M121" s="35"/>
      <c r="N121" s="35"/>
      <c r="O121" s="35"/>
      <c r="P121" s="41" t="s">
        <v>2779</v>
      </c>
      <c r="Q121" s="41" t="s">
        <v>2780</v>
      </c>
    </row>
    <row r="122" spans="1:17">
      <c r="A122" s="36" t="s">
        <v>520</v>
      </c>
      <c r="B122" s="36" t="s">
        <v>3040</v>
      </c>
      <c r="C122" s="37" t="s">
        <v>3041</v>
      </c>
      <c r="D122" s="37" t="s">
        <v>3042</v>
      </c>
      <c r="E122" s="37"/>
      <c r="F122" s="37" t="s">
        <v>3041</v>
      </c>
      <c r="G122" s="37" t="s">
        <v>3042</v>
      </c>
      <c r="H122" s="35"/>
      <c r="J122" s="35"/>
      <c r="K122" s="35"/>
      <c r="L122" s="35"/>
      <c r="M122" s="35"/>
      <c r="N122" s="35"/>
      <c r="O122" s="35"/>
      <c r="P122" s="41" t="s">
        <v>2794</v>
      </c>
      <c r="Q122" s="41" t="s">
        <v>2795</v>
      </c>
    </row>
    <row r="123" spans="1:17">
      <c r="A123" s="36" t="s">
        <v>524</v>
      </c>
      <c r="B123" s="36" t="s">
        <v>3045</v>
      </c>
      <c r="C123" s="37" t="s">
        <v>3046</v>
      </c>
      <c r="D123" s="37" t="s">
        <v>3047</v>
      </c>
      <c r="E123" s="37"/>
      <c r="F123" s="37" t="s">
        <v>3046</v>
      </c>
      <c r="G123" s="37" t="s">
        <v>3047</v>
      </c>
      <c r="H123" s="35"/>
      <c r="J123" s="35"/>
      <c r="K123" s="35"/>
      <c r="L123" s="35"/>
      <c r="M123" s="35"/>
      <c r="N123" s="35"/>
      <c r="O123" s="35"/>
      <c r="P123" s="41" t="s">
        <v>2799</v>
      </c>
      <c r="Q123" s="41" t="s">
        <v>2800</v>
      </c>
    </row>
    <row r="124" spans="1:17">
      <c r="A124" s="36" t="s">
        <v>528</v>
      </c>
      <c r="B124" s="36" t="s">
        <v>3048</v>
      </c>
      <c r="C124" s="37" t="s">
        <v>3049</v>
      </c>
      <c r="D124" s="37" t="s">
        <v>3050</v>
      </c>
      <c r="E124" s="37"/>
      <c r="F124" s="37" t="s">
        <v>3049</v>
      </c>
      <c r="G124" s="37" t="s">
        <v>3050</v>
      </c>
      <c r="H124" s="35"/>
      <c r="J124" s="35"/>
      <c r="K124" s="35"/>
      <c r="L124" s="35"/>
      <c r="M124" s="35"/>
      <c r="N124" s="35"/>
      <c r="O124" s="35"/>
      <c r="P124" s="41" t="s">
        <v>3034</v>
      </c>
      <c r="Q124" s="41" t="s">
        <v>3035</v>
      </c>
    </row>
    <row r="125" spans="1:17">
      <c r="A125" s="36" t="s">
        <v>532</v>
      </c>
      <c r="B125" s="36" t="s">
        <v>3051</v>
      </c>
      <c r="C125" s="37" t="s">
        <v>2688</v>
      </c>
      <c r="D125" s="37" t="s">
        <v>2687</v>
      </c>
      <c r="E125" s="37"/>
      <c r="F125" s="37" t="s">
        <v>2688</v>
      </c>
      <c r="G125" s="37" t="s">
        <v>2687</v>
      </c>
      <c r="H125" s="35"/>
      <c r="J125" s="35"/>
      <c r="K125" s="35"/>
      <c r="L125" s="35"/>
      <c r="M125" s="35"/>
      <c r="N125" s="35"/>
      <c r="O125" s="35"/>
      <c r="P125" s="41" t="s">
        <v>3038</v>
      </c>
      <c r="Q125" s="41" t="s">
        <v>3039</v>
      </c>
    </row>
    <row r="126" spans="1:17">
      <c r="A126" s="36" t="s">
        <v>536</v>
      </c>
      <c r="B126" s="36" t="s">
        <v>3052</v>
      </c>
      <c r="C126" s="37" t="s">
        <v>2688</v>
      </c>
      <c r="D126" s="37" t="s">
        <v>2687</v>
      </c>
      <c r="E126" s="37"/>
      <c r="F126" s="37" t="s">
        <v>2688</v>
      </c>
      <c r="G126" s="37" t="s">
        <v>2687</v>
      </c>
      <c r="H126" s="35"/>
      <c r="J126" s="35"/>
      <c r="K126" s="35"/>
      <c r="L126" s="35"/>
      <c r="M126" s="35"/>
      <c r="N126" s="35"/>
      <c r="O126" s="35"/>
      <c r="P126" s="40" t="s">
        <v>3043</v>
      </c>
      <c r="Q126" s="41" t="s">
        <v>3044</v>
      </c>
    </row>
    <row r="127" spans="1:17">
      <c r="A127" s="36" t="s">
        <v>540</v>
      </c>
      <c r="B127" s="36" t="s">
        <v>3053</v>
      </c>
      <c r="C127" s="37" t="s">
        <v>2996</v>
      </c>
      <c r="D127" s="37" t="s">
        <v>2995</v>
      </c>
      <c r="E127" s="37"/>
      <c r="F127" s="37" t="s">
        <v>2996</v>
      </c>
      <c r="G127" s="37" t="s">
        <v>2995</v>
      </c>
      <c r="H127" s="35"/>
      <c r="J127" s="35"/>
      <c r="K127" s="35"/>
      <c r="L127" s="35"/>
      <c r="M127" s="35"/>
      <c r="N127" s="35"/>
      <c r="O127" s="35"/>
      <c r="P127" s="40" t="s">
        <v>2989</v>
      </c>
      <c r="Q127" s="41" t="s">
        <v>2988</v>
      </c>
    </row>
    <row r="128" spans="1:17">
      <c r="A128" s="36" t="s">
        <v>544</v>
      </c>
      <c r="B128" s="36" t="s">
        <v>3054</v>
      </c>
      <c r="C128" s="37" t="s">
        <v>2830</v>
      </c>
      <c r="D128" s="37" t="s">
        <v>2829</v>
      </c>
      <c r="E128" s="37"/>
      <c r="F128" s="37" t="s">
        <v>2830</v>
      </c>
      <c r="G128" s="37" t="s">
        <v>2829</v>
      </c>
      <c r="H128" s="35"/>
      <c r="J128" s="35"/>
      <c r="K128" s="35"/>
      <c r="L128" s="35"/>
      <c r="M128" s="35"/>
      <c r="N128" s="35"/>
      <c r="O128" s="35"/>
      <c r="P128" s="35"/>
      <c r="Q128" s="35"/>
    </row>
    <row r="129" spans="1:17">
      <c r="A129" s="36" t="s">
        <v>548</v>
      </c>
      <c r="B129" s="36" t="s">
        <v>3055</v>
      </c>
      <c r="C129" s="37" t="s">
        <v>3002</v>
      </c>
      <c r="D129" s="37" t="s">
        <v>3001</v>
      </c>
      <c r="E129" s="37"/>
      <c r="F129" s="37" t="s">
        <v>3002</v>
      </c>
      <c r="G129" s="37" t="s">
        <v>3001</v>
      </c>
      <c r="H129" s="35"/>
      <c r="J129" s="35"/>
      <c r="K129" s="35"/>
      <c r="L129" s="35"/>
      <c r="M129" s="35"/>
      <c r="N129" s="35"/>
      <c r="O129" s="35"/>
      <c r="P129" s="35"/>
      <c r="Q129" s="35"/>
    </row>
    <row r="130" spans="1:17">
      <c r="A130" s="36" t="s">
        <v>552</v>
      </c>
      <c r="B130" s="36" t="s">
        <v>3056</v>
      </c>
      <c r="C130" s="37" t="s">
        <v>3057</v>
      </c>
      <c r="D130" s="37" t="s">
        <v>3058</v>
      </c>
      <c r="E130" s="37"/>
      <c r="F130" s="37" t="s">
        <v>3057</v>
      </c>
      <c r="G130" s="37" t="s">
        <v>3058</v>
      </c>
      <c r="H130" s="35"/>
      <c r="J130" s="35"/>
      <c r="K130" s="35"/>
      <c r="L130" s="35"/>
      <c r="M130" s="35"/>
      <c r="N130" s="35"/>
      <c r="O130" s="35"/>
      <c r="P130" s="35"/>
      <c r="Q130" s="35"/>
    </row>
    <row r="131" spans="1:17">
      <c r="A131" s="36" t="s">
        <v>556</v>
      </c>
      <c r="B131" s="36" t="s">
        <v>3059</v>
      </c>
      <c r="C131" s="37" t="s">
        <v>2688</v>
      </c>
      <c r="D131" s="37" t="s">
        <v>2687</v>
      </c>
      <c r="E131" s="37"/>
      <c r="F131" s="37" t="s">
        <v>2688</v>
      </c>
      <c r="G131" s="37" t="s">
        <v>2687</v>
      </c>
      <c r="H131" s="35"/>
      <c r="J131" s="35"/>
      <c r="K131" s="35"/>
      <c r="L131" s="35"/>
      <c r="M131" s="35"/>
      <c r="N131" s="35"/>
      <c r="O131" s="35"/>
      <c r="P131" s="35"/>
      <c r="Q131" s="35"/>
    </row>
    <row r="132" spans="1:17">
      <c r="A132" s="36" t="s">
        <v>560</v>
      </c>
      <c r="B132" s="36" t="s">
        <v>3060</v>
      </c>
      <c r="C132" s="37" t="s">
        <v>2688</v>
      </c>
      <c r="D132" s="37" t="s">
        <v>2687</v>
      </c>
      <c r="E132" s="37"/>
      <c r="F132" s="37" t="s">
        <v>2688</v>
      </c>
      <c r="G132" s="37" t="s">
        <v>2687</v>
      </c>
      <c r="H132" s="35"/>
      <c r="J132" s="35"/>
      <c r="K132" s="35"/>
      <c r="L132" s="35"/>
      <c r="M132" s="35"/>
      <c r="N132" s="35"/>
      <c r="O132" s="35"/>
      <c r="P132" s="35"/>
      <c r="Q132" s="35"/>
    </row>
    <row r="133" spans="1:17">
      <c r="A133" s="36" t="s">
        <v>3061</v>
      </c>
      <c r="B133" s="36" t="s">
        <v>3062</v>
      </c>
      <c r="C133" s="37"/>
      <c r="D133" s="37"/>
      <c r="E133" s="37"/>
      <c r="F133" s="37"/>
      <c r="G133" s="37"/>
      <c r="H133" s="35"/>
      <c r="J133" s="35"/>
      <c r="K133" s="35"/>
      <c r="L133" s="35"/>
      <c r="M133" s="35"/>
      <c r="N133" s="35"/>
      <c r="O133" s="35"/>
      <c r="P133" s="35"/>
      <c r="Q133" s="35"/>
    </row>
    <row r="134" spans="1:17">
      <c r="A134" s="36" t="s">
        <v>3063</v>
      </c>
      <c r="B134" s="36" t="s">
        <v>3064</v>
      </c>
      <c r="C134" s="37"/>
      <c r="D134" s="37"/>
      <c r="E134" s="37"/>
      <c r="F134" s="37"/>
      <c r="G134" s="37"/>
      <c r="H134" s="35"/>
      <c r="J134" s="35"/>
      <c r="K134" s="35"/>
      <c r="L134" s="35"/>
      <c r="M134" s="35"/>
      <c r="N134" s="35"/>
      <c r="O134" s="35"/>
      <c r="P134" s="35"/>
      <c r="Q134" s="35"/>
    </row>
    <row r="135" spans="1:17">
      <c r="A135" s="36" t="s">
        <v>563</v>
      </c>
      <c r="B135" s="36" t="s">
        <v>3065</v>
      </c>
      <c r="C135" s="37" t="s">
        <v>2612</v>
      </c>
      <c r="D135" s="37" t="s">
        <v>2611</v>
      </c>
      <c r="E135" s="37"/>
      <c r="F135" s="37" t="s">
        <v>4787</v>
      </c>
      <c r="G135" s="37" t="s">
        <v>4786</v>
      </c>
      <c r="H135" s="35"/>
      <c r="J135" s="35"/>
      <c r="K135" s="35"/>
      <c r="L135" s="35"/>
      <c r="M135" s="35"/>
      <c r="N135" s="35"/>
      <c r="O135" s="35"/>
      <c r="P135" s="35"/>
      <c r="Q135" s="35"/>
    </row>
    <row r="136" spans="1:17">
      <c r="A136" s="36" t="s">
        <v>567</v>
      </c>
      <c r="B136" s="36" t="s">
        <v>3066</v>
      </c>
      <c r="C136" s="37" t="s">
        <v>3067</v>
      </c>
      <c r="D136" s="37" t="s">
        <v>3068</v>
      </c>
      <c r="E136" s="37"/>
      <c r="F136" s="37" t="s">
        <v>3067</v>
      </c>
      <c r="G136" s="37" t="s">
        <v>3068</v>
      </c>
      <c r="H136" s="35"/>
      <c r="J136" s="35"/>
      <c r="K136" s="35"/>
      <c r="L136" s="35"/>
      <c r="M136" s="35"/>
      <c r="N136" s="35"/>
      <c r="O136" s="35"/>
      <c r="P136" s="35"/>
      <c r="Q136" s="35"/>
    </row>
    <row r="137" spans="1:17">
      <c r="A137" s="36" t="s">
        <v>571</v>
      </c>
      <c r="B137" s="36" t="s">
        <v>3069</v>
      </c>
      <c r="C137" s="37" t="s">
        <v>3067</v>
      </c>
      <c r="D137" s="37" t="s">
        <v>3068</v>
      </c>
      <c r="E137" s="37"/>
      <c r="F137" s="37" t="s">
        <v>3067</v>
      </c>
      <c r="G137" s="37" t="s">
        <v>3068</v>
      </c>
      <c r="H137" s="35"/>
      <c r="J137" s="35"/>
      <c r="K137" s="35"/>
      <c r="L137" s="35"/>
      <c r="M137" s="35"/>
      <c r="N137" s="35"/>
      <c r="O137" s="35"/>
      <c r="P137" s="35"/>
      <c r="Q137" s="35"/>
    </row>
    <row r="138" spans="1:17">
      <c r="A138" s="36" t="s">
        <v>575</v>
      </c>
      <c r="B138" s="36" t="s">
        <v>3070</v>
      </c>
      <c r="C138" s="37" t="s">
        <v>2945</v>
      </c>
      <c r="D138" s="37" t="s">
        <v>2944</v>
      </c>
      <c r="E138" s="37"/>
      <c r="F138" s="37" t="s">
        <v>2945</v>
      </c>
      <c r="G138" s="37" t="s">
        <v>2944</v>
      </c>
      <c r="H138" s="35"/>
      <c r="J138" s="35"/>
      <c r="K138" s="35"/>
      <c r="L138" s="35"/>
      <c r="M138" s="35"/>
      <c r="N138" s="35"/>
      <c r="O138" s="35"/>
      <c r="P138" s="35"/>
      <c r="Q138" s="35"/>
    </row>
    <row r="139" spans="1:17">
      <c r="A139" s="36" t="s">
        <v>579</v>
      </c>
      <c r="B139" s="36" t="s">
        <v>3071</v>
      </c>
      <c r="C139" s="37" t="s">
        <v>2945</v>
      </c>
      <c r="D139" s="37" t="s">
        <v>2944</v>
      </c>
      <c r="E139" s="37"/>
      <c r="F139" s="37" t="s">
        <v>2945</v>
      </c>
      <c r="G139" s="37" t="s">
        <v>2944</v>
      </c>
      <c r="H139" s="35"/>
      <c r="J139" s="35"/>
      <c r="K139" s="35"/>
      <c r="L139" s="35"/>
      <c r="M139" s="35"/>
      <c r="N139" s="35"/>
      <c r="O139" s="35"/>
      <c r="P139" s="35"/>
      <c r="Q139" s="35"/>
    </row>
    <row r="140" spans="1:17">
      <c r="A140" s="36" t="s">
        <v>583</v>
      </c>
      <c r="B140" s="36" t="s">
        <v>3072</v>
      </c>
      <c r="C140" s="37" t="s">
        <v>2919</v>
      </c>
      <c r="D140" s="37" t="s">
        <v>2918</v>
      </c>
      <c r="E140" s="37"/>
      <c r="F140" s="37" t="s">
        <v>2919</v>
      </c>
      <c r="G140" s="37" t="s">
        <v>2918</v>
      </c>
      <c r="H140" s="35"/>
      <c r="J140" s="35"/>
      <c r="K140" s="35"/>
      <c r="L140" s="35"/>
      <c r="M140" s="35"/>
      <c r="N140" s="35"/>
      <c r="O140" s="35"/>
      <c r="P140" s="35"/>
      <c r="Q140" s="35"/>
    </row>
    <row r="141" spans="1:17">
      <c r="A141" s="36" t="s">
        <v>587</v>
      </c>
      <c r="B141" s="36" t="s">
        <v>3073</v>
      </c>
      <c r="C141" s="37" t="s">
        <v>2919</v>
      </c>
      <c r="D141" s="37" t="s">
        <v>2918</v>
      </c>
      <c r="E141" s="37"/>
      <c r="F141" s="37" t="s">
        <v>2919</v>
      </c>
      <c r="G141" s="37" t="s">
        <v>2918</v>
      </c>
      <c r="H141" s="35"/>
      <c r="J141" s="35"/>
      <c r="K141" s="35"/>
      <c r="L141" s="35"/>
      <c r="M141" s="35"/>
      <c r="N141" s="35"/>
      <c r="O141" s="35"/>
      <c r="P141" s="35"/>
      <c r="Q141" s="35"/>
    </row>
    <row r="142" spans="1:17">
      <c r="A142" s="36" t="s">
        <v>591</v>
      </c>
      <c r="B142" s="36" t="s">
        <v>3074</v>
      </c>
      <c r="C142" s="37" t="s">
        <v>2945</v>
      </c>
      <c r="D142" s="37" t="s">
        <v>2944</v>
      </c>
      <c r="E142" s="37"/>
      <c r="F142" s="37" t="s">
        <v>2945</v>
      </c>
      <c r="G142" s="37" t="s">
        <v>2944</v>
      </c>
      <c r="H142" s="35"/>
      <c r="J142" s="35"/>
      <c r="K142" s="35"/>
      <c r="L142" s="35"/>
      <c r="M142" s="35"/>
      <c r="N142" s="35"/>
      <c r="O142" s="35"/>
      <c r="P142" s="35"/>
      <c r="Q142" s="35"/>
    </row>
    <row r="143" spans="1:17">
      <c r="A143" s="36" t="s">
        <v>595</v>
      </c>
      <c r="B143" s="36" t="s">
        <v>3075</v>
      </c>
      <c r="C143" s="37" t="s">
        <v>2919</v>
      </c>
      <c r="D143" s="37" t="s">
        <v>2918</v>
      </c>
      <c r="E143" s="37"/>
      <c r="F143" s="37" t="s">
        <v>2919</v>
      </c>
      <c r="G143" s="37" t="s">
        <v>2918</v>
      </c>
      <c r="H143" s="35"/>
      <c r="J143" s="35"/>
      <c r="K143" s="35"/>
      <c r="L143" s="35"/>
      <c r="M143" s="35"/>
      <c r="N143" s="35"/>
      <c r="O143" s="35"/>
      <c r="P143" s="35"/>
      <c r="Q143" s="35"/>
    </row>
    <row r="144" spans="1:17">
      <c r="A144" s="36" t="s">
        <v>599</v>
      </c>
      <c r="B144" s="36" t="s">
        <v>3076</v>
      </c>
      <c r="C144" s="37" t="s">
        <v>3077</v>
      </c>
      <c r="D144" s="37" t="s">
        <v>3078</v>
      </c>
      <c r="E144" s="37"/>
      <c r="F144" s="37" t="s">
        <v>3077</v>
      </c>
      <c r="G144" s="37" t="s">
        <v>3078</v>
      </c>
      <c r="H144" s="35"/>
      <c r="J144" s="35"/>
      <c r="K144" s="35"/>
      <c r="L144" s="35"/>
      <c r="M144" s="35"/>
      <c r="N144" s="35"/>
      <c r="O144" s="35"/>
      <c r="P144" s="35"/>
      <c r="Q144" s="35"/>
    </row>
    <row r="145" spans="1:17">
      <c r="A145" s="36" t="s">
        <v>603</v>
      </c>
      <c r="B145" s="36" t="s">
        <v>3079</v>
      </c>
      <c r="C145" s="37" t="s">
        <v>3077</v>
      </c>
      <c r="D145" s="37" t="s">
        <v>3078</v>
      </c>
      <c r="E145" s="37"/>
      <c r="F145" s="37" t="s">
        <v>3077</v>
      </c>
      <c r="G145" s="37" t="s">
        <v>3078</v>
      </c>
      <c r="H145" s="35"/>
      <c r="J145" s="35"/>
      <c r="K145" s="35"/>
      <c r="L145" s="35"/>
      <c r="M145" s="35"/>
      <c r="N145" s="35"/>
      <c r="O145" s="35"/>
      <c r="P145" s="35"/>
      <c r="Q145" s="35"/>
    </row>
    <row r="146" spans="1:17">
      <c r="A146" s="36" t="s">
        <v>607</v>
      </c>
      <c r="B146" s="36" t="s">
        <v>3080</v>
      </c>
      <c r="C146" s="37" t="s">
        <v>3077</v>
      </c>
      <c r="D146" s="37" t="s">
        <v>3078</v>
      </c>
      <c r="E146" s="37"/>
      <c r="F146" s="37" t="s">
        <v>3077</v>
      </c>
      <c r="G146" s="37" t="s">
        <v>3078</v>
      </c>
      <c r="H146" s="35"/>
      <c r="J146" s="35"/>
      <c r="K146" s="35"/>
      <c r="L146" s="35"/>
      <c r="M146" s="35"/>
      <c r="N146" s="35"/>
      <c r="O146" s="35"/>
      <c r="P146" s="35"/>
      <c r="Q146" s="35"/>
    </row>
    <row r="147" spans="1:17">
      <c r="A147" s="36" t="s">
        <v>611</v>
      </c>
      <c r="B147" s="36" t="s">
        <v>3081</v>
      </c>
      <c r="C147" s="37" t="s">
        <v>3077</v>
      </c>
      <c r="D147" s="37" t="s">
        <v>3078</v>
      </c>
      <c r="E147" s="37"/>
      <c r="F147" s="37" t="s">
        <v>3077</v>
      </c>
      <c r="G147" s="37" t="s">
        <v>3078</v>
      </c>
      <c r="H147" s="35"/>
      <c r="J147" s="35"/>
      <c r="K147" s="35"/>
      <c r="L147" s="35"/>
      <c r="M147" s="35"/>
      <c r="N147" s="35"/>
      <c r="O147" s="35"/>
      <c r="P147" s="35"/>
      <c r="Q147" s="35"/>
    </row>
    <row r="148" spans="1:17">
      <c r="A148" s="36" t="s">
        <v>615</v>
      </c>
      <c r="B148" s="36" t="s">
        <v>3082</v>
      </c>
      <c r="C148" s="37" t="s">
        <v>2919</v>
      </c>
      <c r="D148" s="37" t="s">
        <v>2918</v>
      </c>
      <c r="E148" s="37"/>
      <c r="F148" s="37" t="s">
        <v>2919</v>
      </c>
      <c r="G148" s="37" t="s">
        <v>2918</v>
      </c>
      <c r="H148" s="35"/>
      <c r="J148" s="35"/>
      <c r="K148" s="35"/>
      <c r="L148" s="35"/>
      <c r="M148" s="35"/>
      <c r="N148" s="35"/>
      <c r="O148" s="35"/>
      <c r="P148" s="35"/>
      <c r="Q148" s="35"/>
    </row>
    <row r="149" spans="1:17">
      <c r="A149" s="36" t="s">
        <v>619</v>
      </c>
      <c r="B149" s="36" t="s">
        <v>3083</v>
      </c>
      <c r="C149" s="37" t="s">
        <v>2919</v>
      </c>
      <c r="D149" s="37" t="s">
        <v>2918</v>
      </c>
      <c r="E149" s="37"/>
      <c r="F149" s="37" t="s">
        <v>2919</v>
      </c>
      <c r="G149" s="37" t="s">
        <v>2918</v>
      </c>
      <c r="H149" s="35"/>
      <c r="J149" s="35"/>
      <c r="K149" s="35"/>
      <c r="L149" s="35"/>
      <c r="M149" s="35"/>
      <c r="N149" s="35"/>
      <c r="O149" s="35"/>
      <c r="P149" s="35"/>
      <c r="Q149" s="35"/>
    </row>
    <row r="150" spans="1:17">
      <c r="A150" s="36" t="s">
        <v>623</v>
      </c>
      <c r="B150" s="36" t="s">
        <v>3084</v>
      </c>
      <c r="C150" s="37" t="s">
        <v>2919</v>
      </c>
      <c r="D150" s="37" t="s">
        <v>2918</v>
      </c>
      <c r="E150" s="37"/>
      <c r="F150" s="37" t="s">
        <v>2919</v>
      </c>
      <c r="G150" s="37" t="s">
        <v>2918</v>
      </c>
      <c r="H150" s="35"/>
      <c r="J150" s="35"/>
      <c r="K150" s="35"/>
      <c r="L150" s="35"/>
      <c r="M150" s="35"/>
      <c r="N150" s="35"/>
      <c r="O150" s="35"/>
      <c r="P150" s="35"/>
      <c r="Q150" s="35"/>
    </row>
    <row r="151" spans="1:17">
      <c r="A151" s="36" t="s">
        <v>627</v>
      </c>
      <c r="B151" s="36" t="s">
        <v>3085</v>
      </c>
      <c r="C151" s="37" t="s">
        <v>2919</v>
      </c>
      <c r="D151" s="37" t="s">
        <v>2918</v>
      </c>
      <c r="E151" s="37"/>
      <c r="F151" s="37" t="s">
        <v>2919</v>
      </c>
      <c r="G151" s="37" t="s">
        <v>2918</v>
      </c>
      <c r="H151" s="35"/>
      <c r="J151" s="35"/>
      <c r="K151" s="35"/>
      <c r="L151" s="35"/>
      <c r="M151" s="35"/>
      <c r="N151" s="35"/>
      <c r="O151" s="35"/>
      <c r="P151" s="35"/>
      <c r="Q151" s="35"/>
    </row>
    <row r="152" spans="1:17">
      <c r="A152" s="36" t="s">
        <v>631</v>
      </c>
      <c r="B152" s="36" t="s">
        <v>3086</v>
      </c>
      <c r="C152" s="37" t="s">
        <v>2919</v>
      </c>
      <c r="D152" s="37" t="s">
        <v>2918</v>
      </c>
      <c r="E152" s="37"/>
      <c r="F152" s="37" t="s">
        <v>2919</v>
      </c>
      <c r="G152" s="37" t="s">
        <v>2918</v>
      </c>
      <c r="H152" s="35"/>
      <c r="J152" s="35"/>
      <c r="K152" s="35"/>
      <c r="L152" s="35"/>
      <c r="M152" s="35"/>
      <c r="N152" s="35"/>
      <c r="O152" s="35"/>
      <c r="P152" s="35"/>
      <c r="Q152" s="35"/>
    </row>
    <row r="153" spans="1:17">
      <c r="A153" s="36" t="s">
        <v>635</v>
      </c>
      <c r="B153" s="36" t="s">
        <v>3087</v>
      </c>
      <c r="C153" s="37" t="s">
        <v>2919</v>
      </c>
      <c r="D153" s="37" t="s">
        <v>2918</v>
      </c>
      <c r="E153" s="37"/>
      <c r="F153" s="37" t="s">
        <v>2919</v>
      </c>
      <c r="G153" s="37" t="s">
        <v>2918</v>
      </c>
      <c r="H153" s="35"/>
      <c r="J153" s="35"/>
      <c r="K153" s="35"/>
      <c r="L153" s="35"/>
      <c r="M153" s="35"/>
      <c r="N153" s="35"/>
      <c r="O153" s="35"/>
      <c r="P153" s="35"/>
      <c r="Q153" s="35"/>
    </row>
    <row r="154" spans="1:17">
      <c r="A154" s="36" t="s">
        <v>639</v>
      </c>
      <c r="B154" s="36" t="s">
        <v>3088</v>
      </c>
      <c r="C154" s="37" t="s">
        <v>2818</v>
      </c>
      <c r="D154" s="37" t="s">
        <v>2817</v>
      </c>
      <c r="E154" s="37"/>
      <c r="F154" s="37" t="s">
        <v>2818</v>
      </c>
      <c r="G154" s="37" t="s">
        <v>2817</v>
      </c>
      <c r="H154" s="35"/>
      <c r="J154" s="35"/>
      <c r="K154" s="35"/>
      <c r="L154" s="35"/>
      <c r="M154" s="35"/>
      <c r="N154" s="35"/>
      <c r="O154" s="35"/>
      <c r="P154" s="35"/>
      <c r="Q154" s="35"/>
    </row>
    <row r="155" spans="1:17">
      <c r="A155" s="36" t="s">
        <v>643</v>
      </c>
      <c r="B155" s="36" t="s">
        <v>3089</v>
      </c>
      <c r="C155" s="37" t="s">
        <v>2818</v>
      </c>
      <c r="D155" s="37" t="s">
        <v>2817</v>
      </c>
      <c r="E155" s="37"/>
      <c r="F155" s="37" t="s">
        <v>2818</v>
      </c>
      <c r="G155" s="37" t="s">
        <v>2817</v>
      </c>
      <c r="H155" s="35"/>
      <c r="J155" s="35"/>
      <c r="K155" s="35"/>
      <c r="L155" s="35"/>
      <c r="M155" s="35"/>
      <c r="N155" s="35"/>
      <c r="O155" s="35"/>
      <c r="P155" s="35"/>
      <c r="Q155" s="35"/>
    </row>
    <row r="156" spans="1:17">
      <c r="A156" s="36" t="s">
        <v>647</v>
      </c>
      <c r="B156" s="36" t="s">
        <v>3090</v>
      </c>
      <c r="C156" s="37" t="s">
        <v>2919</v>
      </c>
      <c r="D156" s="37" t="s">
        <v>2918</v>
      </c>
      <c r="E156" s="37"/>
      <c r="F156" s="37" t="s">
        <v>2919</v>
      </c>
      <c r="G156" s="37" t="s">
        <v>2918</v>
      </c>
      <c r="H156" s="35"/>
      <c r="J156" s="35"/>
      <c r="K156" s="35"/>
      <c r="L156" s="35"/>
      <c r="M156" s="35"/>
      <c r="N156" s="35"/>
      <c r="O156" s="35"/>
      <c r="P156" s="35"/>
      <c r="Q156" s="35"/>
    </row>
    <row r="157" spans="1:17">
      <c r="A157" s="36" t="s">
        <v>651</v>
      </c>
      <c r="B157" s="36" t="s">
        <v>3091</v>
      </c>
      <c r="C157" s="37" t="s">
        <v>2919</v>
      </c>
      <c r="D157" s="37" t="s">
        <v>2918</v>
      </c>
      <c r="E157" s="37"/>
      <c r="F157" s="37" t="s">
        <v>2919</v>
      </c>
      <c r="G157" s="37" t="s">
        <v>2918</v>
      </c>
      <c r="H157" s="35"/>
      <c r="J157" s="35"/>
      <c r="K157" s="35"/>
      <c r="L157" s="35"/>
      <c r="M157" s="35"/>
      <c r="N157" s="35"/>
      <c r="O157" s="35"/>
      <c r="P157" s="35"/>
      <c r="Q157" s="35"/>
    </row>
    <row r="158" spans="1:17">
      <c r="A158" s="36" t="s">
        <v>655</v>
      </c>
      <c r="B158" s="36" t="s">
        <v>3092</v>
      </c>
      <c r="C158" s="37" t="s">
        <v>2919</v>
      </c>
      <c r="D158" s="37" t="s">
        <v>2918</v>
      </c>
      <c r="E158" s="37"/>
      <c r="F158" s="37" t="s">
        <v>2919</v>
      </c>
      <c r="G158" s="37" t="s">
        <v>2918</v>
      </c>
      <c r="H158" s="35"/>
      <c r="J158" s="35"/>
      <c r="K158" s="35"/>
      <c r="L158" s="35"/>
      <c r="M158" s="35"/>
      <c r="N158" s="35"/>
      <c r="O158" s="35"/>
      <c r="P158" s="35"/>
      <c r="Q158" s="35"/>
    </row>
    <row r="159" spans="1:17">
      <c r="A159" s="36" t="s">
        <v>659</v>
      </c>
      <c r="B159" s="36" t="s">
        <v>3093</v>
      </c>
      <c r="C159" s="37" t="s">
        <v>2919</v>
      </c>
      <c r="D159" s="37" t="s">
        <v>2918</v>
      </c>
      <c r="E159" s="37"/>
      <c r="F159" s="37" t="s">
        <v>2919</v>
      </c>
      <c r="G159" s="37" t="s">
        <v>2918</v>
      </c>
      <c r="H159" s="35"/>
      <c r="J159" s="35"/>
      <c r="K159" s="35"/>
      <c r="L159" s="35"/>
      <c r="M159" s="35"/>
      <c r="N159" s="35"/>
      <c r="O159" s="35"/>
      <c r="P159" s="35"/>
      <c r="Q159" s="35"/>
    </row>
    <row r="160" spans="1:17">
      <c r="A160" s="36" t="s">
        <v>663</v>
      </c>
      <c r="B160" s="36" t="s">
        <v>3094</v>
      </c>
      <c r="C160" s="37" t="s">
        <v>2919</v>
      </c>
      <c r="D160" s="37" t="s">
        <v>2918</v>
      </c>
      <c r="E160" s="37"/>
      <c r="F160" s="37" t="s">
        <v>2919</v>
      </c>
      <c r="G160" s="37" t="s">
        <v>2918</v>
      </c>
      <c r="H160" s="35"/>
      <c r="J160" s="35"/>
      <c r="K160" s="35"/>
      <c r="L160" s="35"/>
      <c r="M160" s="35"/>
      <c r="N160" s="35"/>
      <c r="O160" s="35"/>
      <c r="P160" s="35"/>
      <c r="Q160" s="35"/>
    </row>
    <row r="161" spans="1:17">
      <c r="A161" s="36" t="s">
        <v>667</v>
      </c>
      <c r="B161" s="36" t="s">
        <v>3095</v>
      </c>
      <c r="C161" s="37" t="s">
        <v>2919</v>
      </c>
      <c r="D161" s="37" t="s">
        <v>2918</v>
      </c>
      <c r="E161" s="37"/>
      <c r="F161" s="37" t="s">
        <v>2919</v>
      </c>
      <c r="G161" s="37" t="s">
        <v>2918</v>
      </c>
      <c r="H161" s="35"/>
      <c r="J161" s="35"/>
      <c r="K161" s="35"/>
      <c r="L161" s="35"/>
      <c r="M161" s="35"/>
      <c r="N161" s="35"/>
      <c r="O161" s="35"/>
      <c r="P161" s="35"/>
      <c r="Q161" s="35"/>
    </row>
    <row r="162" spans="1:17">
      <c r="A162" s="36" t="s">
        <v>671</v>
      </c>
      <c r="B162" s="36" t="s">
        <v>3096</v>
      </c>
      <c r="C162" s="37" t="s">
        <v>2919</v>
      </c>
      <c r="D162" s="37" t="s">
        <v>2918</v>
      </c>
      <c r="E162" s="37"/>
      <c r="F162" s="37" t="s">
        <v>2919</v>
      </c>
      <c r="G162" s="37" t="s">
        <v>2918</v>
      </c>
      <c r="H162" s="35"/>
      <c r="J162" s="35"/>
      <c r="K162" s="35"/>
      <c r="L162" s="35"/>
      <c r="M162" s="35"/>
      <c r="N162" s="35"/>
      <c r="O162" s="35"/>
      <c r="P162" s="35"/>
      <c r="Q162" s="35"/>
    </row>
    <row r="163" spans="1:17">
      <c r="A163" s="36" t="s">
        <v>675</v>
      </c>
      <c r="B163" s="36" t="s">
        <v>3097</v>
      </c>
      <c r="C163" s="37" t="s">
        <v>2919</v>
      </c>
      <c r="D163" s="37" t="s">
        <v>2918</v>
      </c>
      <c r="E163" s="37"/>
      <c r="F163" s="37" t="s">
        <v>2919</v>
      </c>
      <c r="G163" s="37" t="s">
        <v>2918</v>
      </c>
      <c r="H163" s="35"/>
      <c r="J163" s="35"/>
      <c r="K163" s="35"/>
      <c r="L163" s="35"/>
      <c r="M163" s="35"/>
      <c r="N163" s="35"/>
      <c r="O163" s="35"/>
      <c r="P163" s="35"/>
      <c r="Q163" s="35"/>
    </row>
    <row r="164" spans="1:17">
      <c r="A164" s="36" t="s">
        <v>679</v>
      </c>
      <c r="B164" s="36" t="s">
        <v>3098</v>
      </c>
      <c r="C164" s="37" t="s">
        <v>2919</v>
      </c>
      <c r="D164" s="37" t="s">
        <v>2918</v>
      </c>
      <c r="E164" s="37"/>
      <c r="F164" s="37" t="s">
        <v>2919</v>
      </c>
      <c r="G164" s="37" t="s">
        <v>2918</v>
      </c>
      <c r="H164" s="35"/>
      <c r="J164" s="35"/>
      <c r="K164" s="35"/>
      <c r="L164" s="35"/>
      <c r="M164" s="35"/>
      <c r="N164" s="35"/>
      <c r="O164" s="35"/>
      <c r="P164" s="35"/>
      <c r="Q164" s="35"/>
    </row>
    <row r="165" spans="1:17">
      <c r="A165" s="36" t="s">
        <v>683</v>
      </c>
      <c r="B165" s="36" t="s">
        <v>3099</v>
      </c>
      <c r="C165" s="37" t="s">
        <v>2919</v>
      </c>
      <c r="D165" s="37" t="s">
        <v>2918</v>
      </c>
      <c r="E165" s="37"/>
      <c r="F165" s="37" t="s">
        <v>2919</v>
      </c>
      <c r="G165" s="37" t="s">
        <v>2918</v>
      </c>
      <c r="H165" s="35"/>
      <c r="J165" s="35"/>
      <c r="K165" s="35"/>
      <c r="L165" s="35"/>
      <c r="M165" s="35"/>
      <c r="N165" s="35"/>
      <c r="O165" s="35"/>
      <c r="P165" s="35"/>
      <c r="Q165" s="35"/>
    </row>
    <row r="166" spans="1:17">
      <c r="A166" s="36" t="s">
        <v>687</v>
      </c>
      <c r="B166" s="36" t="s">
        <v>3100</v>
      </c>
      <c r="C166" s="37" t="s">
        <v>2919</v>
      </c>
      <c r="D166" s="37" t="s">
        <v>2918</v>
      </c>
      <c r="E166" s="37"/>
      <c r="F166" s="37" t="s">
        <v>2919</v>
      </c>
      <c r="G166" s="37" t="s">
        <v>2918</v>
      </c>
      <c r="H166" s="35"/>
      <c r="J166" s="35"/>
      <c r="K166" s="35"/>
      <c r="L166" s="35"/>
      <c r="M166" s="35"/>
      <c r="N166" s="35"/>
      <c r="O166" s="35"/>
      <c r="P166" s="35"/>
      <c r="Q166" s="35"/>
    </row>
    <row r="167" spans="1:17">
      <c r="A167" s="36" t="s">
        <v>691</v>
      </c>
      <c r="B167" s="36" t="s">
        <v>3101</v>
      </c>
      <c r="C167" s="37" t="s">
        <v>2919</v>
      </c>
      <c r="D167" s="37" t="s">
        <v>2918</v>
      </c>
      <c r="E167" s="37"/>
      <c r="F167" s="37" t="s">
        <v>2919</v>
      </c>
      <c r="G167" s="37" t="s">
        <v>2918</v>
      </c>
      <c r="H167" s="35"/>
      <c r="J167" s="35"/>
      <c r="K167" s="35"/>
      <c r="L167" s="35"/>
      <c r="M167" s="35"/>
      <c r="N167" s="35"/>
      <c r="O167" s="35"/>
      <c r="P167" s="35"/>
      <c r="Q167" s="35"/>
    </row>
    <row r="168" spans="1:17">
      <c r="A168" s="36" t="s">
        <v>695</v>
      </c>
      <c r="B168" s="36" t="s">
        <v>3102</v>
      </c>
      <c r="C168" s="37" t="s">
        <v>2919</v>
      </c>
      <c r="D168" s="37" t="s">
        <v>2918</v>
      </c>
      <c r="E168" s="37"/>
      <c r="F168" s="37" t="s">
        <v>2919</v>
      </c>
      <c r="G168" s="37" t="s">
        <v>2918</v>
      </c>
      <c r="H168" s="35"/>
      <c r="J168" s="35"/>
      <c r="K168" s="35"/>
      <c r="L168" s="35"/>
      <c r="M168" s="35"/>
      <c r="N168" s="35"/>
      <c r="O168" s="35"/>
      <c r="P168" s="35"/>
      <c r="Q168" s="35"/>
    </row>
    <row r="169" spans="1:17">
      <c r="A169" s="36" t="s">
        <v>699</v>
      </c>
      <c r="B169" s="36" t="s">
        <v>3103</v>
      </c>
      <c r="C169" s="37" t="s">
        <v>2919</v>
      </c>
      <c r="D169" s="37" t="s">
        <v>2918</v>
      </c>
      <c r="E169" s="37"/>
      <c r="F169" s="37" t="s">
        <v>2919</v>
      </c>
      <c r="G169" s="37" t="s">
        <v>2918</v>
      </c>
      <c r="H169" s="35"/>
      <c r="J169" s="35"/>
      <c r="K169" s="35"/>
      <c r="L169" s="35"/>
      <c r="M169" s="35"/>
      <c r="N169" s="35"/>
      <c r="O169" s="35"/>
      <c r="P169" s="35"/>
      <c r="Q169" s="35"/>
    </row>
    <row r="170" spans="1:17">
      <c r="A170" s="36" t="s">
        <v>703</v>
      </c>
      <c r="B170" s="36" t="s">
        <v>3104</v>
      </c>
      <c r="C170" s="37" t="s">
        <v>2919</v>
      </c>
      <c r="D170" s="37" t="s">
        <v>2918</v>
      </c>
      <c r="E170" s="37"/>
      <c r="F170" s="37" t="s">
        <v>2919</v>
      </c>
      <c r="G170" s="37" t="s">
        <v>2918</v>
      </c>
      <c r="H170" s="35"/>
      <c r="J170" s="35"/>
      <c r="K170" s="35"/>
      <c r="L170" s="35"/>
      <c r="M170" s="35"/>
      <c r="N170" s="35"/>
      <c r="O170" s="35"/>
      <c r="P170" s="35"/>
      <c r="Q170" s="35"/>
    </row>
    <row r="171" spans="1:17">
      <c r="A171" s="36" t="s">
        <v>707</v>
      </c>
      <c r="B171" s="36" t="s">
        <v>3105</v>
      </c>
      <c r="C171" s="37" t="s">
        <v>2698</v>
      </c>
      <c r="D171" s="37" t="s">
        <v>2697</v>
      </c>
      <c r="E171" s="37"/>
      <c r="F171" s="37" t="s">
        <v>2698</v>
      </c>
      <c r="G171" s="37" t="s">
        <v>2697</v>
      </c>
      <c r="H171" s="35"/>
      <c r="J171" s="35"/>
      <c r="K171" s="35"/>
      <c r="L171" s="35"/>
      <c r="M171" s="35"/>
      <c r="N171" s="35"/>
      <c r="O171" s="35"/>
      <c r="P171" s="35"/>
      <c r="Q171" s="35"/>
    </row>
    <row r="172" spans="1:17">
      <c r="A172" s="36" t="s">
        <v>711</v>
      </c>
      <c r="B172" s="36" t="s">
        <v>3106</v>
      </c>
      <c r="C172" s="37" t="s">
        <v>2919</v>
      </c>
      <c r="D172" s="37" t="s">
        <v>2918</v>
      </c>
      <c r="E172" s="37"/>
      <c r="F172" s="37" t="s">
        <v>2919</v>
      </c>
      <c r="G172" s="37" t="s">
        <v>2918</v>
      </c>
      <c r="H172" s="35"/>
      <c r="J172" s="35"/>
      <c r="K172" s="35"/>
      <c r="L172" s="35"/>
      <c r="M172" s="35"/>
      <c r="N172" s="35"/>
      <c r="O172" s="35"/>
      <c r="P172" s="35"/>
      <c r="Q172" s="35"/>
    </row>
    <row r="173" spans="1:17">
      <c r="A173" s="36" t="s">
        <v>715</v>
      </c>
      <c r="B173" s="36" t="s">
        <v>3107</v>
      </c>
      <c r="C173" s="37" t="s">
        <v>3108</v>
      </c>
      <c r="D173" s="37" t="s">
        <v>3109</v>
      </c>
      <c r="E173" s="37"/>
      <c r="F173" s="37" t="s">
        <v>3108</v>
      </c>
      <c r="G173" s="37" t="s">
        <v>3109</v>
      </c>
      <c r="H173" s="35"/>
      <c r="J173" s="35"/>
      <c r="K173" s="35"/>
      <c r="L173" s="35"/>
      <c r="M173" s="35"/>
      <c r="N173" s="35"/>
      <c r="O173" s="35"/>
      <c r="P173" s="35"/>
      <c r="Q173" s="35"/>
    </row>
    <row r="174" spans="1:17">
      <c r="A174" s="36" t="s">
        <v>719</v>
      </c>
      <c r="B174" s="36" t="s">
        <v>3110</v>
      </c>
      <c r="C174" s="37" t="s">
        <v>2986</v>
      </c>
      <c r="D174" s="37" t="s">
        <v>2985</v>
      </c>
      <c r="E174" s="37"/>
      <c r="F174" s="37" t="s">
        <v>2986</v>
      </c>
      <c r="G174" s="37" t="s">
        <v>2985</v>
      </c>
      <c r="H174" s="35"/>
      <c r="J174" s="35"/>
      <c r="K174" s="35"/>
      <c r="L174" s="35"/>
      <c r="M174" s="35"/>
      <c r="N174" s="35"/>
      <c r="O174" s="35"/>
      <c r="P174" s="35"/>
      <c r="Q174" s="35"/>
    </row>
    <row r="175" spans="1:17">
      <c r="A175" s="36" t="s">
        <v>723</v>
      </c>
      <c r="B175" s="36" t="s">
        <v>3111</v>
      </c>
      <c r="C175" s="37" t="s">
        <v>2824</v>
      </c>
      <c r="D175" s="37" t="s">
        <v>2823</v>
      </c>
      <c r="E175" s="37"/>
      <c r="F175" s="37" t="s">
        <v>2824</v>
      </c>
      <c r="G175" s="37" t="s">
        <v>2823</v>
      </c>
      <c r="H175" s="35"/>
      <c r="J175" s="35"/>
      <c r="K175" s="35"/>
      <c r="L175" s="35"/>
      <c r="M175" s="35"/>
      <c r="N175" s="35"/>
      <c r="O175" s="35"/>
      <c r="P175" s="35"/>
      <c r="Q175" s="35"/>
    </row>
    <row r="176" spans="1:17">
      <c r="A176" s="36" t="s">
        <v>727</v>
      </c>
      <c r="B176" s="36" t="s">
        <v>3112</v>
      </c>
      <c r="C176" s="37" t="s">
        <v>2824</v>
      </c>
      <c r="D176" s="37" t="s">
        <v>2823</v>
      </c>
      <c r="E176" s="37"/>
      <c r="F176" s="37" t="s">
        <v>2824</v>
      </c>
      <c r="G176" s="37" t="s">
        <v>2823</v>
      </c>
      <c r="H176" s="35"/>
      <c r="J176" s="35"/>
      <c r="K176" s="35"/>
      <c r="L176" s="35"/>
      <c r="M176" s="35"/>
      <c r="N176" s="35"/>
      <c r="O176" s="35"/>
      <c r="P176" s="35"/>
      <c r="Q176" s="35"/>
    </row>
    <row r="177" spans="1:17">
      <c r="A177" s="36" t="s">
        <v>731</v>
      </c>
      <c r="B177" s="36" t="s">
        <v>3113</v>
      </c>
      <c r="C177" s="37" t="s">
        <v>2879</v>
      </c>
      <c r="D177" s="37" t="s">
        <v>2880</v>
      </c>
      <c r="E177" s="37"/>
      <c r="F177" s="37" t="s">
        <v>2879</v>
      </c>
      <c r="G177" s="37" t="s">
        <v>2880</v>
      </c>
      <c r="H177" s="35"/>
      <c r="J177" s="35"/>
      <c r="K177" s="35"/>
      <c r="L177" s="35"/>
      <c r="M177" s="35"/>
      <c r="N177" s="35"/>
      <c r="O177" s="35"/>
      <c r="P177" s="35"/>
      <c r="Q177" s="35"/>
    </row>
    <row r="178" spans="1:17">
      <c r="A178" s="36" t="s">
        <v>735</v>
      </c>
      <c r="B178" s="36" t="s">
        <v>3114</v>
      </c>
      <c r="C178" s="37" t="s">
        <v>2919</v>
      </c>
      <c r="D178" s="37" t="s">
        <v>2918</v>
      </c>
      <c r="E178" s="37"/>
      <c r="F178" s="37" t="s">
        <v>2919</v>
      </c>
      <c r="G178" s="37" t="s">
        <v>2918</v>
      </c>
      <c r="H178" s="35"/>
      <c r="J178" s="35"/>
      <c r="K178" s="35"/>
      <c r="L178" s="35"/>
      <c r="M178" s="35"/>
      <c r="N178" s="35"/>
      <c r="O178" s="35"/>
      <c r="P178" s="35"/>
      <c r="Q178" s="35"/>
    </row>
    <row r="179" spans="1:17">
      <c r="A179" s="36" t="s">
        <v>739</v>
      </c>
      <c r="B179" s="36" t="s">
        <v>3115</v>
      </c>
      <c r="C179" s="37" t="s">
        <v>2887</v>
      </c>
      <c r="D179" s="37" t="s">
        <v>2886</v>
      </c>
      <c r="E179" s="37"/>
      <c r="F179" s="37" t="s">
        <v>2887</v>
      </c>
      <c r="G179" s="37" t="s">
        <v>2886</v>
      </c>
      <c r="H179" s="35"/>
      <c r="J179" s="35"/>
      <c r="K179" s="35"/>
      <c r="L179" s="35"/>
      <c r="M179" s="35"/>
      <c r="N179" s="35"/>
      <c r="O179" s="35"/>
      <c r="P179" s="35"/>
      <c r="Q179" s="35"/>
    </row>
    <row r="180" spans="1:17">
      <c r="A180" s="36" t="s">
        <v>743</v>
      </c>
      <c r="B180" s="36" t="s">
        <v>3116</v>
      </c>
      <c r="C180" s="37" t="s">
        <v>2919</v>
      </c>
      <c r="D180" s="37" t="s">
        <v>2918</v>
      </c>
      <c r="E180" s="37"/>
      <c r="F180" s="37" t="s">
        <v>2919</v>
      </c>
      <c r="G180" s="37" t="s">
        <v>2918</v>
      </c>
      <c r="H180" s="35"/>
      <c r="J180" s="35"/>
      <c r="K180" s="35"/>
      <c r="L180" s="35"/>
      <c r="M180" s="35"/>
      <c r="N180" s="35"/>
      <c r="O180" s="35"/>
      <c r="P180" s="35"/>
      <c r="Q180" s="35"/>
    </row>
    <row r="181" spans="1:17">
      <c r="A181" s="36" t="s">
        <v>747</v>
      </c>
      <c r="B181" s="36" t="s">
        <v>3117</v>
      </c>
      <c r="C181" s="37" t="s">
        <v>2919</v>
      </c>
      <c r="D181" s="37" t="s">
        <v>2918</v>
      </c>
      <c r="E181" s="37"/>
      <c r="F181" s="37" t="s">
        <v>2919</v>
      </c>
      <c r="G181" s="37" t="s">
        <v>2918</v>
      </c>
      <c r="H181" s="35"/>
      <c r="J181" s="35"/>
      <c r="K181" s="35"/>
      <c r="L181" s="35"/>
      <c r="M181" s="35"/>
      <c r="N181" s="35"/>
      <c r="O181" s="35"/>
      <c r="P181" s="35"/>
      <c r="Q181" s="35"/>
    </row>
    <row r="182" spans="1:17">
      <c r="A182" s="36" t="s">
        <v>751</v>
      </c>
      <c r="B182" s="36" t="s">
        <v>3118</v>
      </c>
      <c r="C182" s="37" t="s">
        <v>2919</v>
      </c>
      <c r="D182" s="37" t="s">
        <v>2918</v>
      </c>
      <c r="E182" s="37"/>
      <c r="F182" s="37" t="s">
        <v>2919</v>
      </c>
      <c r="G182" s="37" t="s">
        <v>2918</v>
      </c>
      <c r="H182" s="35"/>
      <c r="J182" s="35"/>
      <c r="K182" s="35"/>
      <c r="L182" s="35"/>
      <c r="M182" s="35"/>
      <c r="N182" s="35"/>
      <c r="O182" s="35"/>
      <c r="P182" s="35"/>
      <c r="Q182" s="35"/>
    </row>
    <row r="183" spans="1:17">
      <c r="A183" s="36" t="s">
        <v>755</v>
      </c>
      <c r="B183" s="36" t="s">
        <v>3119</v>
      </c>
      <c r="C183" s="37" t="s">
        <v>2919</v>
      </c>
      <c r="D183" s="37" t="s">
        <v>2918</v>
      </c>
      <c r="E183" s="37"/>
      <c r="F183" s="37" t="s">
        <v>2919</v>
      </c>
      <c r="G183" s="37" t="s">
        <v>2918</v>
      </c>
      <c r="H183" s="35"/>
      <c r="J183" s="35"/>
      <c r="K183" s="35"/>
      <c r="L183" s="35"/>
      <c r="M183" s="35"/>
      <c r="N183" s="35"/>
      <c r="O183" s="35"/>
      <c r="P183" s="35"/>
      <c r="Q183" s="35"/>
    </row>
    <row r="184" spans="1:17">
      <c r="A184" s="36" t="s">
        <v>3120</v>
      </c>
      <c r="B184" s="36" t="s">
        <v>3121</v>
      </c>
      <c r="C184" s="37"/>
      <c r="D184" s="37"/>
      <c r="E184" s="37"/>
      <c r="F184" s="37"/>
      <c r="G184" s="37"/>
      <c r="H184" s="35"/>
      <c r="J184" s="35"/>
      <c r="K184" s="35"/>
      <c r="L184" s="35"/>
      <c r="M184" s="35"/>
      <c r="N184" s="35"/>
      <c r="O184" s="35"/>
      <c r="P184" s="35"/>
      <c r="Q184" s="35"/>
    </row>
    <row r="185" spans="1:17">
      <c r="A185" s="36" t="s">
        <v>759</v>
      </c>
      <c r="B185" s="36" t="s">
        <v>3122</v>
      </c>
      <c r="C185" s="37" t="s">
        <v>2612</v>
      </c>
      <c r="D185" s="37" t="s">
        <v>2611</v>
      </c>
      <c r="E185" s="37"/>
      <c r="F185" s="37" t="s">
        <v>4787</v>
      </c>
      <c r="G185" s="37" t="s">
        <v>4786</v>
      </c>
      <c r="H185" s="35"/>
      <c r="J185" s="35"/>
      <c r="K185" s="35"/>
      <c r="L185" s="35"/>
      <c r="M185" s="35"/>
      <c r="N185" s="35"/>
      <c r="O185" s="35"/>
      <c r="P185" s="35"/>
      <c r="Q185" s="35"/>
    </row>
    <row r="186" spans="1:17">
      <c r="A186" s="36" t="s">
        <v>763</v>
      </c>
      <c r="B186" s="36" t="s">
        <v>3123</v>
      </c>
      <c r="C186" s="37" t="s">
        <v>2612</v>
      </c>
      <c r="D186" s="37" t="s">
        <v>2611</v>
      </c>
      <c r="E186" s="37"/>
      <c r="F186" s="37" t="s">
        <v>4787</v>
      </c>
      <c r="G186" s="37" t="s">
        <v>4786</v>
      </c>
      <c r="H186" s="35"/>
      <c r="J186" s="35"/>
      <c r="K186" s="35"/>
      <c r="L186" s="35"/>
      <c r="M186" s="35"/>
      <c r="N186" s="35"/>
      <c r="O186" s="35"/>
      <c r="P186" s="35"/>
      <c r="Q186" s="35"/>
    </row>
    <row r="187" spans="1:17">
      <c r="A187" s="36" t="s">
        <v>767</v>
      </c>
      <c r="B187" s="36" t="s">
        <v>3124</v>
      </c>
      <c r="C187" s="37" t="s">
        <v>2612</v>
      </c>
      <c r="D187" s="37" t="s">
        <v>2611</v>
      </c>
      <c r="E187" s="37"/>
      <c r="F187" s="37" t="s">
        <v>4787</v>
      </c>
      <c r="G187" s="37" t="s">
        <v>4786</v>
      </c>
      <c r="H187" s="35"/>
      <c r="J187" s="35"/>
      <c r="K187" s="35"/>
      <c r="L187" s="35"/>
      <c r="M187" s="35"/>
      <c r="N187" s="35"/>
      <c r="O187" s="35"/>
      <c r="P187" s="35"/>
      <c r="Q187" s="35"/>
    </row>
    <row r="188" spans="1:17">
      <c r="A188" s="36" t="s">
        <v>771</v>
      </c>
      <c r="B188" s="36" t="s">
        <v>3125</v>
      </c>
      <c r="C188" s="37" t="s">
        <v>2612</v>
      </c>
      <c r="D188" s="37" t="s">
        <v>2611</v>
      </c>
      <c r="E188" s="37"/>
      <c r="F188" s="37" t="s">
        <v>4787</v>
      </c>
      <c r="G188" s="37" t="s">
        <v>4786</v>
      </c>
      <c r="H188" s="35"/>
      <c r="J188" s="35"/>
      <c r="K188" s="35"/>
      <c r="L188" s="35"/>
      <c r="M188" s="35"/>
      <c r="N188" s="35"/>
      <c r="O188" s="35"/>
      <c r="P188" s="35"/>
      <c r="Q188" s="35"/>
    </row>
    <row r="189" spans="1:17">
      <c r="A189" s="36" t="s">
        <v>3126</v>
      </c>
      <c r="B189" s="36" t="s">
        <v>3127</v>
      </c>
      <c r="C189" s="37"/>
      <c r="D189" s="37"/>
      <c r="E189" s="37"/>
      <c r="F189" s="37"/>
      <c r="G189" s="37"/>
      <c r="H189" s="35"/>
      <c r="J189" s="35"/>
      <c r="K189" s="35"/>
      <c r="L189" s="35"/>
      <c r="M189" s="35"/>
      <c r="N189" s="35"/>
      <c r="O189" s="35"/>
      <c r="P189" s="35"/>
      <c r="Q189" s="35"/>
    </row>
    <row r="190" spans="1:17">
      <c r="A190" s="36" t="s">
        <v>775</v>
      </c>
      <c r="B190" s="36" t="s">
        <v>3128</v>
      </c>
      <c r="C190" s="37" t="s">
        <v>3129</v>
      </c>
      <c r="D190" s="37" t="s">
        <v>3130</v>
      </c>
      <c r="E190" s="37"/>
      <c r="F190" s="37" t="s">
        <v>3129</v>
      </c>
      <c r="G190" s="37" t="s">
        <v>3130</v>
      </c>
      <c r="H190" s="35"/>
      <c r="J190" s="35"/>
      <c r="K190" s="35"/>
      <c r="L190" s="35"/>
      <c r="M190" s="35"/>
      <c r="N190" s="35"/>
      <c r="O190" s="35"/>
      <c r="P190" s="35"/>
      <c r="Q190" s="35"/>
    </row>
    <row r="191" spans="1:17">
      <c r="A191" s="36" t="s">
        <v>779</v>
      </c>
      <c r="B191" s="36" t="s">
        <v>3131</v>
      </c>
      <c r="C191" s="37" t="s">
        <v>3129</v>
      </c>
      <c r="D191" s="37" t="s">
        <v>3130</v>
      </c>
      <c r="E191" s="37"/>
      <c r="F191" s="37" t="s">
        <v>3129</v>
      </c>
      <c r="G191" s="37" t="s">
        <v>3130</v>
      </c>
      <c r="H191" s="35"/>
      <c r="J191" s="35"/>
      <c r="K191" s="35"/>
      <c r="L191" s="35"/>
      <c r="M191" s="35"/>
      <c r="N191" s="35"/>
      <c r="O191" s="35"/>
      <c r="P191" s="35"/>
      <c r="Q191" s="35"/>
    </row>
    <row r="192" spans="1:17">
      <c r="A192" s="36" t="s">
        <v>783</v>
      </c>
      <c r="B192" s="36" t="s">
        <v>3132</v>
      </c>
      <c r="C192" s="37" t="s">
        <v>3129</v>
      </c>
      <c r="D192" s="37" t="s">
        <v>3130</v>
      </c>
      <c r="E192" s="37"/>
      <c r="F192" s="37" t="s">
        <v>3129</v>
      </c>
      <c r="G192" s="37" t="s">
        <v>3130</v>
      </c>
      <c r="H192" s="35"/>
      <c r="J192" s="35"/>
      <c r="K192" s="35"/>
      <c r="L192" s="35"/>
      <c r="M192" s="35"/>
      <c r="N192" s="35"/>
      <c r="O192" s="35"/>
      <c r="P192" s="35"/>
      <c r="Q192" s="35"/>
    </row>
    <row r="193" spans="1:17">
      <c r="A193" s="36" t="s">
        <v>787</v>
      </c>
      <c r="B193" s="36" t="s">
        <v>3133</v>
      </c>
      <c r="C193" s="37" t="s">
        <v>3129</v>
      </c>
      <c r="D193" s="37" t="s">
        <v>3130</v>
      </c>
      <c r="E193" s="37"/>
      <c r="F193" s="37" t="s">
        <v>3129</v>
      </c>
      <c r="G193" s="37" t="s">
        <v>3130</v>
      </c>
      <c r="H193" s="35"/>
      <c r="J193" s="35"/>
      <c r="K193" s="35"/>
      <c r="L193" s="35"/>
      <c r="M193" s="35"/>
      <c r="N193" s="35"/>
      <c r="O193" s="35"/>
      <c r="P193" s="35"/>
      <c r="Q193" s="35"/>
    </row>
    <row r="194" spans="1:17">
      <c r="A194" s="36" t="s">
        <v>791</v>
      </c>
      <c r="B194" s="36" t="s">
        <v>3134</v>
      </c>
      <c r="C194" s="37" t="s">
        <v>3129</v>
      </c>
      <c r="D194" s="37" t="s">
        <v>3130</v>
      </c>
      <c r="E194" s="37"/>
      <c r="F194" s="37" t="s">
        <v>3129</v>
      </c>
      <c r="G194" s="37" t="s">
        <v>3130</v>
      </c>
      <c r="H194" s="35"/>
      <c r="J194" s="35"/>
      <c r="K194" s="35"/>
      <c r="L194" s="35"/>
      <c r="M194" s="35"/>
      <c r="N194" s="35"/>
      <c r="O194" s="35"/>
      <c r="P194" s="35"/>
      <c r="Q194" s="35"/>
    </row>
    <row r="195" spans="1:17">
      <c r="A195" s="36" t="s">
        <v>795</v>
      </c>
      <c r="B195" s="36" t="s">
        <v>3135</v>
      </c>
      <c r="C195" s="37" t="s">
        <v>3129</v>
      </c>
      <c r="D195" s="37" t="s">
        <v>3130</v>
      </c>
      <c r="E195" s="37"/>
      <c r="F195" s="37" t="s">
        <v>3129</v>
      </c>
      <c r="G195" s="37" t="s">
        <v>3130</v>
      </c>
      <c r="H195" s="35"/>
      <c r="J195" s="35"/>
      <c r="K195" s="35"/>
      <c r="L195" s="35"/>
      <c r="M195" s="35"/>
      <c r="N195" s="35"/>
      <c r="O195" s="35"/>
      <c r="P195" s="35"/>
      <c r="Q195" s="35"/>
    </row>
    <row r="196" spans="1:17">
      <c r="A196" s="36" t="s">
        <v>799</v>
      </c>
      <c r="B196" s="36" t="s">
        <v>3136</v>
      </c>
      <c r="C196" s="37" t="s">
        <v>3129</v>
      </c>
      <c r="D196" s="37" t="s">
        <v>3130</v>
      </c>
      <c r="E196" s="37"/>
      <c r="F196" s="37" t="s">
        <v>3129</v>
      </c>
      <c r="G196" s="37" t="s">
        <v>3130</v>
      </c>
      <c r="H196" s="35"/>
      <c r="J196" s="35"/>
      <c r="K196" s="35"/>
      <c r="L196" s="35"/>
      <c r="M196" s="35"/>
      <c r="N196" s="35"/>
      <c r="O196" s="35"/>
      <c r="P196" s="35"/>
      <c r="Q196" s="35"/>
    </row>
    <row r="197" spans="1:17">
      <c r="A197" s="36" t="s">
        <v>803</v>
      </c>
      <c r="B197" s="36" t="s">
        <v>3137</v>
      </c>
      <c r="C197" s="37" t="s">
        <v>3129</v>
      </c>
      <c r="D197" s="37" t="s">
        <v>3130</v>
      </c>
      <c r="E197" s="37"/>
      <c r="F197" s="37" t="s">
        <v>3129</v>
      </c>
      <c r="G197" s="37" t="s">
        <v>3130</v>
      </c>
      <c r="H197" s="35"/>
      <c r="J197" s="35"/>
      <c r="K197" s="35"/>
      <c r="L197" s="35"/>
      <c r="M197" s="35"/>
      <c r="N197" s="35"/>
      <c r="O197" s="35"/>
      <c r="P197" s="35"/>
      <c r="Q197" s="35"/>
    </row>
    <row r="198" spans="1:17">
      <c r="A198" s="36" t="s">
        <v>807</v>
      </c>
      <c r="B198" s="36" t="s">
        <v>3138</v>
      </c>
      <c r="C198" s="37" t="s">
        <v>3129</v>
      </c>
      <c r="D198" s="37" t="s">
        <v>3130</v>
      </c>
      <c r="E198" s="37"/>
      <c r="F198" s="37" t="s">
        <v>3129</v>
      </c>
      <c r="G198" s="37" t="s">
        <v>3130</v>
      </c>
      <c r="H198" s="35"/>
      <c r="J198" s="35"/>
      <c r="K198" s="35"/>
      <c r="L198" s="35"/>
      <c r="M198" s="35"/>
      <c r="N198" s="35"/>
      <c r="O198" s="35"/>
      <c r="P198" s="35"/>
      <c r="Q198" s="35"/>
    </row>
    <row r="199" spans="1:17">
      <c r="A199" s="36" t="s">
        <v>811</v>
      </c>
      <c r="B199" s="36" t="s">
        <v>3139</v>
      </c>
      <c r="C199" s="37" t="s">
        <v>3129</v>
      </c>
      <c r="D199" s="37" t="s">
        <v>3130</v>
      </c>
      <c r="E199" s="37"/>
      <c r="F199" s="37" t="s">
        <v>3129</v>
      </c>
      <c r="G199" s="37" t="s">
        <v>3130</v>
      </c>
      <c r="H199" s="35"/>
      <c r="J199" s="35"/>
      <c r="K199" s="35"/>
      <c r="L199" s="35"/>
      <c r="M199" s="35"/>
      <c r="N199" s="35"/>
      <c r="O199" s="35"/>
      <c r="P199" s="35"/>
      <c r="Q199" s="35"/>
    </row>
    <row r="200" spans="1:17">
      <c r="A200" s="36" t="s">
        <v>815</v>
      </c>
      <c r="B200" s="36" t="s">
        <v>3140</v>
      </c>
      <c r="C200" s="37" t="s">
        <v>3129</v>
      </c>
      <c r="D200" s="37" t="s">
        <v>3130</v>
      </c>
      <c r="E200" s="37"/>
      <c r="F200" s="37" t="s">
        <v>3129</v>
      </c>
      <c r="G200" s="37" t="s">
        <v>3130</v>
      </c>
      <c r="H200" s="35"/>
      <c r="J200" s="35"/>
      <c r="K200" s="35"/>
      <c r="L200" s="35"/>
      <c r="M200" s="35"/>
      <c r="N200" s="35"/>
      <c r="O200" s="35"/>
      <c r="P200" s="35"/>
      <c r="Q200" s="35"/>
    </row>
    <row r="201" spans="1:17">
      <c r="A201" s="36" t="s">
        <v>819</v>
      </c>
      <c r="B201" s="36" t="s">
        <v>3141</v>
      </c>
      <c r="C201" s="37" t="s">
        <v>3129</v>
      </c>
      <c r="D201" s="37" t="s">
        <v>3130</v>
      </c>
      <c r="E201" s="37"/>
      <c r="F201" s="37" t="s">
        <v>3129</v>
      </c>
      <c r="G201" s="37" t="s">
        <v>3130</v>
      </c>
      <c r="H201" s="35"/>
      <c r="J201" s="35"/>
      <c r="K201" s="35"/>
      <c r="L201" s="35"/>
      <c r="M201" s="35"/>
      <c r="N201" s="35"/>
      <c r="O201" s="35"/>
      <c r="P201" s="35"/>
      <c r="Q201" s="35"/>
    </row>
    <row r="202" spans="1:17">
      <c r="A202" s="36" t="s">
        <v>823</v>
      </c>
      <c r="B202" s="36" t="s">
        <v>3142</v>
      </c>
      <c r="C202" s="37" t="s">
        <v>3129</v>
      </c>
      <c r="D202" s="37" t="s">
        <v>3130</v>
      </c>
      <c r="E202" s="37"/>
      <c r="F202" s="37" t="s">
        <v>3129</v>
      </c>
      <c r="G202" s="37" t="s">
        <v>3130</v>
      </c>
      <c r="H202" s="35"/>
      <c r="J202" s="35"/>
      <c r="K202" s="35"/>
      <c r="L202" s="35"/>
      <c r="M202" s="35"/>
      <c r="N202" s="35"/>
      <c r="O202" s="35"/>
      <c r="P202" s="35"/>
      <c r="Q202" s="35"/>
    </row>
    <row r="203" spans="1:17">
      <c r="A203" s="36" t="s">
        <v>827</v>
      </c>
      <c r="B203" s="36" t="s">
        <v>3143</v>
      </c>
      <c r="C203" s="37" t="s">
        <v>3129</v>
      </c>
      <c r="D203" s="37" t="s">
        <v>3130</v>
      </c>
      <c r="E203" s="37"/>
      <c r="F203" s="37" t="s">
        <v>3129</v>
      </c>
      <c r="G203" s="37" t="s">
        <v>3130</v>
      </c>
      <c r="H203" s="35"/>
      <c r="J203" s="35"/>
      <c r="K203" s="35"/>
      <c r="L203" s="35"/>
      <c r="M203" s="35"/>
      <c r="N203" s="35"/>
      <c r="O203" s="35"/>
      <c r="P203" s="35"/>
      <c r="Q203" s="35"/>
    </row>
    <row r="204" spans="1:17">
      <c r="A204" s="36" t="s">
        <v>831</v>
      </c>
      <c r="B204" s="36" t="s">
        <v>3144</v>
      </c>
      <c r="C204" s="37" t="s">
        <v>3129</v>
      </c>
      <c r="D204" s="37" t="s">
        <v>3130</v>
      </c>
      <c r="E204" s="37"/>
      <c r="F204" s="37" t="s">
        <v>3129</v>
      </c>
      <c r="G204" s="37" t="s">
        <v>3130</v>
      </c>
      <c r="H204" s="35"/>
      <c r="J204" s="35"/>
      <c r="K204" s="35"/>
      <c r="L204" s="35"/>
      <c r="M204" s="35"/>
      <c r="N204" s="35"/>
      <c r="O204" s="35"/>
      <c r="P204" s="35"/>
      <c r="Q204" s="35"/>
    </row>
    <row r="205" spans="1:17">
      <c r="A205" s="36" t="s">
        <v>835</v>
      </c>
      <c r="B205" s="36" t="s">
        <v>3145</v>
      </c>
      <c r="C205" s="37" t="s">
        <v>3129</v>
      </c>
      <c r="D205" s="37" t="s">
        <v>3130</v>
      </c>
      <c r="E205" s="37"/>
      <c r="F205" s="37" t="s">
        <v>3129</v>
      </c>
      <c r="G205" s="37" t="s">
        <v>3130</v>
      </c>
      <c r="H205" s="35"/>
      <c r="J205" s="35"/>
      <c r="K205" s="35"/>
      <c r="L205" s="35"/>
      <c r="M205" s="35"/>
      <c r="N205" s="35"/>
      <c r="O205" s="35"/>
      <c r="P205" s="35"/>
      <c r="Q205" s="35"/>
    </row>
    <row r="206" spans="1:17">
      <c r="A206" s="36" t="s">
        <v>839</v>
      </c>
      <c r="B206" s="36" t="s">
        <v>3146</v>
      </c>
      <c r="C206" s="37" t="s">
        <v>3129</v>
      </c>
      <c r="D206" s="37" t="s">
        <v>3130</v>
      </c>
      <c r="E206" s="37"/>
      <c r="F206" s="37" t="s">
        <v>3129</v>
      </c>
      <c r="G206" s="37" t="s">
        <v>3130</v>
      </c>
      <c r="H206" s="35"/>
      <c r="J206" s="35"/>
      <c r="K206" s="35"/>
      <c r="L206" s="35"/>
      <c r="M206" s="35"/>
      <c r="N206" s="35"/>
      <c r="O206" s="35"/>
      <c r="P206" s="35"/>
      <c r="Q206" s="35"/>
    </row>
    <row r="207" spans="1:17">
      <c r="A207" s="36" t="s">
        <v>843</v>
      </c>
      <c r="B207" s="36" t="s">
        <v>3147</v>
      </c>
      <c r="C207" s="37" t="s">
        <v>3129</v>
      </c>
      <c r="D207" s="37" t="s">
        <v>3130</v>
      </c>
      <c r="E207" s="37"/>
      <c r="F207" s="37" t="s">
        <v>3129</v>
      </c>
      <c r="G207" s="37" t="s">
        <v>3130</v>
      </c>
      <c r="H207" s="35"/>
      <c r="J207" s="35"/>
      <c r="K207" s="35"/>
      <c r="L207" s="35"/>
      <c r="M207" s="35"/>
      <c r="N207" s="35"/>
      <c r="O207" s="35"/>
      <c r="P207" s="35"/>
      <c r="Q207" s="35"/>
    </row>
    <row r="208" spans="1:17">
      <c r="A208" s="36" t="s">
        <v>847</v>
      </c>
      <c r="B208" s="36" t="s">
        <v>3148</v>
      </c>
      <c r="C208" s="37" t="s">
        <v>3129</v>
      </c>
      <c r="D208" s="37" t="s">
        <v>3130</v>
      </c>
      <c r="E208" s="37"/>
      <c r="F208" s="37" t="s">
        <v>3129</v>
      </c>
      <c r="G208" s="37" t="s">
        <v>3130</v>
      </c>
      <c r="H208" s="35"/>
      <c r="J208" s="35"/>
      <c r="K208" s="35"/>
      <c r="L208" s="35"/>
      <c r="M208" s="35"/>
      <c r="N208" s="35"/>
      <c r="O208" s="35"/>
      <c r="P208" s="35"/>
      <c r="Q208" s="35"/>
    </row>
    <row r="209" spans="1:17">
      <c r="A209" s="36" t="s">
        <v>851</v>
      </c>
      <c r="B209" s="36" t="s">
        <v>3149</v>
      </c>
      <c r="C209" s="37" t="s">
        <v>3129</v>
      </c>
      <c r="D209" s="37" t="s">
        <v>3130</v>
      </c>
      <c r="E209" s="37"/>
      <c r="F209" s="37" t="s">
        <v>3129</v>
      </c>
      <c r="G209" s="37" t="s">
        <v>3130</v>
      </c>
      <c r="H209" s="35"/>
      <c r="J209" s="35"/>
      <c r="K209" s="35"/>
      <c r="L209" s="35"/>
      <c r="M209" s="35"/>
      <c r="N209" s="35"/>
      <c r="O209" s="35"/>
      <c r="P209" s="35"/>
      <c r="Q209" s="35"/>
    </row>
    <row r="210" spans="1:17">
      <c r="A210" s="36" t="s">
        <v>855</v>
      </c>
      <c r="B210" s="36" t="s">
        <v>3150</v>
      </c>
      <c r="C210" s="37" t="s">
        <v>3129</v>
      </c>
      <c r="D210" s="37" t="s">
        <v>3130</v>
      </c>
      <c r="E210" s="37"/>
      <c r="F210" s="37" t="s">
        <v>3129</v>
      </c>
      <c r="G210" s="37" t="s">
        <v>3130</v>
      </c>
      <c r="H210" s="35"/>
      <c r="J210" s="35"/>
      <c r="K210" s="35"/>
      <c r="L210" s="35"/>
      <c r="M210" s="35"/>
      <c r="N210" s="35"/>
      <c r="O210" s="35"/>
      <c r="P210" s="35"/>
      <c r="Q210" s="35"/>
    </row>
    <row r="211" spans="1:17">
      <c r="A211" s="36" t="s">
        <v>859</v>
      </c>
      <c r="B211" s="36" t="s">
        <v>3151</v>
      </c>
      <c r="C211" s="37" t="s">
        <v>3129</v>
      </c>
      <c r="D211" s="37" t="s">
        <v>3130</v>
      </c>
      <c r="E211" s="37"/>
      <c r="F211" s="37" t="s">
        <v>3129</v>
      </c>
      <c r="G211" s="37" t="s">
        <v>3130</v>
      </c>
      <c r="H211" s="35"/>
      <c r="J211" s="35"/>
      <c r="K211" s="35"/>
      <c r="L211" s="35"/>
      <c r="M211" s="35"/>
      <c r="N211" s="35"/>
      <c r="O211" s="35"/>
      <c r="P211" s="35"/>
      <c r="Q211" s="35"/>
    </row>
    <row r="212" spans="1:17">
      <c r="A212" s="36" t="s">
        <v>863</v>
      </c>
      <c r="B212" s="36" t="s">
        <v>3152</v>
      </c>
      <c r="C212" s="37" t="s">
        <v>3129</v>
      </c>
      <c r="D212" s="37" t="s">
        <v>3130</v>
      </c>
      <c r="E212" s="37"/>
      <c r="F212" s="37" t="s">
        <v>3129</v>
      </c>
      <c r="G212" s="37" t="s">
        <v>3130</v>
      </c>
      <c r="H212" s="35"/>
      <c r="J212" s="35"/>
      <c r="K212" s="35"/>
      <c r="L212" s="35"/>
      <c r="M212" s="35"/>
      <c r="N212" s="35"/>
      <c r="O212" s="35"/>
      <c r="P212" s="35"/>
      <c r="Q212" s="35"/>
    </row>
    <row r="213" spans="1:17">
      <c r="A213" s="36" t="s">
        <v>3153</v>
      </c>
      <c r="B213" s="36" t="s">
        <v>3154</v>
      </c>
      <c r="C213" s="37"/>
      <c r="D213" s="37"/>
      <c r="E213" s="37"/>
      <c r="F213" s="37"/>
      <c r="G213" s="37"/>
      <c r="H213" s="35"/>
      <c r="J213" s="35"/>
      <c r="K213" s="35"/>
      <c r="L213" s="35"/>
      <c r="M213" s="35"/>
      <c r="N213" s="35"/>
      <c r="O213" s="35"/>
      <c r="P213" s="35"/>
      <c r="Q213" s="35"/>
    </row>
    <row r="214" spans="1:17">
      <c r="A214" s="36" t="s">
        <v>867</v>
      </c>
      <c r="B214" s="36" t="s">
        <v>3155</v>
      </c>
      <c r="C214" s="37" t="s">
        <v>3129</v>
      </c>
      <c r="D214" s="37" t="s">
        <v>3130</v>
      </c>
      <c r="E214" s="37"/>
      <c r="F214" s="37" t="s">
        <v>3129</v>
      </c>
      <c r="G214" s="37" t="s">
        <v>3130</v>
      </c>
      <c r="H214" s="35"/>
      <c r="J214" s="35"/>
      <c r="K214" s="35"/>
      <c r="L214" s="35"/>
      <c r="M214" s="35"/>
      <c r="N214" s="35"/>
      <c r="O214" s="35"/>
      <c r="P214" s="35"/>
      <c r="Q214" s="35"/>
    </row>
    <row r="215" spans="1:17">
      <c r="A215" s="36" t="s">
        <v>870</v>
      </c>
      <c r="B215" s="36" t="s">
        <v>3156</v>
      </c>
      <c r="C215" s="37" t="s">
        <v>3129</v>
      </c>
      <c r="D215" s="37" t="s">
        <v>3130</v>
      </c>
      <c r="E215" s="37"/>
      <c r="F215" s="37" t="s">
        <v>3129</v>
      </c>
      <c r="G215" s="37" t="s">
        <v>3130</v>
      </c>
      <c r="H215" s="35"/>
      <c r="J215" s="35"/>
      <c r="K215" s="35"/>
      <c r="L215" s="35"/>
      <c r="M215" s="35"/>
      <c r="N215" s="35"/>
      <c r="O215" s="35"/>
      <c r="P215" s="35"/>
      <c r="Q215" s="35"/>
    </row>
    <row r="216" spans="1:17">
      <c r="A216" s="36" t="s">
        <v>874</v>
      </c>
      <c r="B216" s="36" t="s">
        <v>3157</v>
      </c>
      <c r="C216" s="37" t="s">
        <v>3129</v>
      </c>
      <c r="D216" s="37" t="s">
        <v>3130</v>
      </c>
      <c r="E216" s="37"/>
      <c r="F216" s="37" t="s">
        <v>3129</v>
      </c>
      <c r="G216" s="37" t="s">
        <v>3130</v>
      </c>
      <c r="H216" s="35"/>
      <c r="J216" s="35"/>
      <c r="K216" s="35"/>
      <c r="L216" s="35"/>
      <c r="M216" s="35"/>
      <c r="N216" s="35"/>
      <c r="O216" s="35"/>
      <c r="P216" s="35"/>
      <c r="Q216" s="35"/>
    </row>
    <row r="217" spans="1:17">
      <c r="A217" s="36" t="s">
        <v>878</v>
      </c>
      <c r="B217" s="36" t="s">
        <v>3158</v>
      </c>
      <c r="C217" s="37" t="s">
        <v>3129</v>
      </c>
      <c r="D217" s="37" t="s">
        <v>3130</v>
      </c>
      <c r="E217" s="37"/>
      <c r="F217" s="37" t="s">
        <v>3129</v>
      </c>
      <c r="G217" s="37" t="s">
        <v>3130</v>
      </c>
      <c r="H217" s="35"/>
      <c r="J217" s="35"/>
      <c r="K217" s="35"/>
      <c r="L217" s="35"/>
      <c r="M217" s="35"/>
      <c r="N217" s="35"/>
      <c r="O217" s="35"/>
      <c r="P217" s="35"/>
      <c r="Q217" s="35"/>
    </row>
    <row r="218" spans="1:17">
      <c r="A218" s="36" t="s">
        <v>882</v>
      </c>
      <c r="B218" s="36" t="s">
        <v>3159</v>
      </c>
      <c r="C218" s="37" t="s">
        <v>3129</v>
      </c>
      <c r="D218" s="37" t="s">
        <v>3130</v>
      </c>
      <c r="E218" s="37"/>
      <c r="F218" s="37" t="s">
        <v>3129</v>
      </c>
      <c r="G218" s="37" t="s">
        <v>3130</v>
      </c>
      <c r="H218" s="35"/>
      <c r="J218" s="35"/>
      <c r="K218" s="35"/>
      <c r="L218" s="35"/>
      <c r="M218" s="35"/>
      <c r="N218" s="35"/>
      <c r="O218" s="35"/>
      <c r="P218" s="35"/>
      <c r="Q218" s="35"/>
    </row>
    <row r="219" spans="1:17">
      <c r="A219" s="36" t="s">
        <v>885</v>
      </c>
      <c r="B219" s="36" t="s">
        <v>3160</v>
      </c>
      <c r="C219" s="37" t="s">
        <v>3129</v>
      </c>
      <c r="D219" s="37" t="s">
        <v>3130</v>
      </c>
      <c r="E219" s="37"/>
      <c r="F219" s="37" t="s">
        <v>3129</v>
      </c>
      <c r="G219" s="37" t="s">
        <v>3130</v>
      </c>
      <c r="H219" s="35"/>
      <c r="J219" s="35"/>
      <c r="K219" s="35"/>
      <c r="L219" s="35"/>
      <c r="M219" s="35"/>
      <c r="N219" s="35"/>
      <c r="O219" s="35"/>
      <c r="P219" s="35"/>
      <c r="Q219" s="35"/>
    </row>
    <row r="220" spans="1:17">
      <c r="A220" s="36" t="s">
        <v>889</v>
      </c>
      <c r="B220" s="36" t="s">
        <v>3161</v>
      </c>
      <c r="C220" s="37" t="s">
        <v>3129</v>
      </c>
      <c r="D220" s="37" t="s">
        <v>3130</v>
      </c>
      <c r="E220" s="37"/>
      <c r="F220" s="37" t="s">
        <v>3129</v>
      </c>
      <c r="G220" s="37" t="s">
        <v>3130</v>
      </c>
      <c r="H220" s="35"/>
      <c r="J220" s="35"/>
      <c r="K220" s="35"/>
      <c r="L220" s="35"/>
      <c r="M220" s="35"/>
      <c r="N220" s="35"/>
      <c r="O220" s="35"/>
      <c r="P220" s="35"/>
      <c r="Q220" s="35"/>
    </row>
    <row r="221" spans="1:17">
      <c r="A221" s="36" t="s">
        <v>893</v>
      </c>
      <c r="B221" s="36" t="s">
        <v>3162</v>
      </c>
      <c r="C221" s="37" t="s">
        <v>3129</v>
      </c>
      <c r="D221" s="37" t="s">
        <v>3130</v>
      </c>
      <c r="E221" s="37"/>
      <c r="F221" s="37" t="s">
        <v>3129</v>
      </c>
      <c r="G221" s="37" t="s">
        <v>3130</v>
      </c>
      <c r="H221" s="35"/>
      <c r="J221" s="35"/>
      <c r="K221" s="35"/>
      <c r="L221" s="35"/>
      <c r="M221" s="35"/>
      <c r="N221" s="35"/>
      <c r="O221" s="35"/>
      <c r="P221" s="35"/>
      <c r="Q221" s="35"/>
    </row>
    <row r="222" spans="1:17">
      <c r="A222" s="36" t="s">
        <v>897</v>
      </c>
      <c r="B222" s="36" t="s">
        <v>3163</v>
      </c>
      <c r="C222" s="37" t="s">
        <v>3129</v>
      </c>
      <c r="D222" s="37" t="s">
        <v>3130</v>
      </c>
      <c r="E222" s="37"/>
      <c r="F222" s="37" t="s">
        <v>3129</v>
      </c>
      <c r="G222" s="37" t="s">
        <v>3130</v>
      </c>
      <c r="H222" s="35"/>
      <c r="J222" s="35"/>
      <c r="K222" s="35"/>
      <c r="L222" s="35"/>
      <c r="M222" s="35"/>
      <c r="N222" s="35"/>
      <c r="O222" s="35"/>
      <c r="P222" s="35"/>
      <c r="Q222" s="35"/>
    </row>
    <row r="223" spans="1:17">
      <c r="A223" s="36" t="s">
        <v>901</v>
      </c>
      <c r="B223" s="36" t="s">
        <v>3164</v>
      </c>
      <c r="C223" s="37" t="s">
        <v>3129</v>
      </c>
      <c r="D223" s="37" t="s">
        <v>3130</v>
      </c>
      <c r="E223" s="37"/>
      <c r="F223" s="37" t="s">
        <v>3129</v>
      </c>
      <c r="G223" s="37" t="s">
        <v>3130</v>
      </c>
      <c r="H223" s="35"/>
      <c r="J223" s="35"/>
      <c r="K223" s="35"/>
      <c r="L223" s="35"/>
      <c r="M223" s="35"/>
      <c r="N223" s="35"/>
      <c r="O223" s="35"/>
      <c r="P223" s="35"/>
      <c r="Q223" s="35"/>
    </row>
    <row r="224" spans="1:17">
      <c r="A224" s="36" t="s">
        <v>905</v>
      </c>
      <c r="B224" s="36" t="s">
        <v>3165</v>
      </c>
      <c r="C224" s="37" t="s">
        <v>3129</v>
      </c>
      <c r="D224" s="37" t="s">
        <v>3130</v>
      </c>
      <c r="E224" s="37"/>
      <c r="F224" s="37" t="s">
        <v>3129</v>
      </c>
      <c r="G224" s="37" t="s">
        <v>3130</v>
      </c>
      <c r="H224" s="35"/>
      <c r="J224" s="35"/>
      <c r="K224" s="35"/>
      <c r="L224" s="35"/>
      <c r="M224" s="35"/>
      <c r="N224" s="35"/>
      <c r="O224" s="35"/>
      <c r="P224" s="35"/>
      <c r="Q224" s="35"/>
    </row>
    <row r="225" spans="1:17">
      <c r="A225" s="36" t="s">
        <v>909</v>
      </c>
      <c r="B225" s="36" t="s">
        <v>3166</v>
      </c>
      <c r="C225" s="37" t="s">
        <v>3129</v>
      </c>
      <c r="D225" s="37" t="s">
        <v>3130</v>
      </c>
      <c r="E225" s="37"/>
      <c r="F225" s="37" t="s">
        <v>3129</v>
      </c>
      <c r="G225" s="37" t="s">
        <v>3130</v>
      </c>
      <c r="H225" s="35"/>
      <c r="J225" s="35"/>
      <c r="K225" s="35"/>
      <c r="L225" s="35"/>
      <c r="M225" s="35"/>
      <c r="N225" s="35"/>
      <c r="O225" s="35"/>
      <c r="P225" s="35"/>
      <c r="Q225" s="35"/>
    </row>
    <row r="226" spans="1:17">
      <c r="A226" s="36" t="s">
        <v>913</v>
      </c>
      <c r="B226" s="36" t="s">
        <v>3167</v>
      </c>
      <c r="C226" s="37" t="s">
        <v>3129</v>
      </c>
      <c r="D226" s="37" t="s">
        <v>3130</v>
      </c>
      <c r="E226" s="37"/>
      <c r="F226" s="37" t="s">
        <v>3129</v>
      </c>
      <c r="G226" s="37" t="s">
        <v>3130</v>
      </c>
      <c r="H226" s="35"/>
      <c r="J226" s="35"/>
      <c r="K226" s="35"/>
      <c r="L226" s="35"/>
      <c r="M226" s="35"/>
      <c r="N226" s="35"/>
      <c r="O226" s="35"/>
      <c r="P226" s="35"/>
      <c r="Q226" s="35"/>
    </row>
    <row r="227" spans="1:17">
      <c r="A227" s="36" t="s">
        <v>917</v>
      </c>
      <c r="B227" s="36" t="s">
        <v>3168</v>
      </c>
      <c r="C227" s="37" t="s">
        <v>3129</v>
      </c>
      <c r="D227" s="37" t="s">
        <v>3130</v>
      </c>
      <c r="E227" s="37"/>
      <c r="F227" s="37" t="s">
        <v>3129</v>
      </c>
      <c r="G227" s="37" t="s">
        <v>3130</v>
      </c>
      <c r="H227" s="35"/>
      <c r="J227" s="35"/>
      <c r="K227" s="35"/>
      <c r="L227" s="35"/>
      <c r="M227" s="35"/>
      <c r="N227" s="35"/>
      <c r="O227" s="35"/>
      <c r="P227" s="35"/>
      <c r="Q227" s="35"/>
    </row>
    <row r="228" spans="1:17">
      <c r="A228" s="36" t="s">
        <v>921</v>
      </c>
      <c r="B228" s="36" t="s">
        <v>3169</v>
      </c>
      <c r="C228" s="37" t="s">
        <v>3129</v>
      </c>
      <c r="D228" s="37" t="s">
        <v>3130</v>
      </c>
      <c r="E228" s="37"/>
      <c r="F228" s="37" t="s">
        <v>3129</v>
      </c>
      <c r="G228" s="37" t="s">
        <v>3130</v>
      </c>
      <c r="H228" s="35"/>
      <c r="J228" s="35"/>
      <c r="K228" s="35"/>
      <c r="L228" s="35"/>
      <c r="M228" s="35"/>
      <c r="N228" s="35"/>
      <c r="O228" s="35"/>
      <c r="P228" s="35"/>
      <c r="Q228" s="35"/>
    </row>
    <row r="229" spans="1:17">
      <c r="A229" s="36" t="s">
        <v>925</v>
      </c>
      <c r="B229" s="36" t="s">
        <v>3170</v>
      </c>
      <c r="C229" s="37" t="s">
        <v>3129</v>
      </c>
      <c r="D229" s="37" t="s">
        <v>3130</v>
      </c>
      <c r="E229" s="37"/>
      <c r="F229" s="37" t="s">
        <v>3129</v>
      </c>
      <c r="G229" s="37" t="s">
        <v>3130</v>
      </c>
      <c r="H229" s="35"/>
      <c r="J229" s="35"/>
      <c r="K229" s="35"/>
      <c r="L229" s="35"/>
      <c r="M229" s="35"/>
      <c r="N229" s="35"/>
      <c r="O229" s="35"/>
      <c r="P229" s="35"/>
      <c r="Q229" s="35"/>
    </row>
    <row r="230" spans="1:17">
      <c r="A230" s="36" t="s">
        <v>929</v>
      </c>
      <c r="B230" s="36" t="s">
        <v>3171</v>
      </c>
      <c r="C230" s="37" t="s">
        <v>2612</v>
      </c>
      <c r="D230" s="37" t="s">
        <v>2611</v>
      </c>
      <c r="E230" s="37"/>
      <c r="F230" s="37" t="s">
        <v>4787</v>
      </c>
      <c r="G230" s="37" t="s">
        <v>4786</v>
      </c>
      <c r="H230" s="35"/>
      <c r="J230" s="35"/>
      <c r="K230" s="35"/>
      <c r="L230" s="35"/>
      <c r="M230" s="35"/>
      <c r="N230" s="35"/>
      <c r="O230" s="35"/>
      <c r="P230" s="35"/>
      <c r="Q230" s="35"/>
    </row>
    <row r="231" spans="1:17">
      <c r="A231" s="36" t="s">
        <v>933</v>
      </c>
      <c r="B231" s="36" t="s">
        <v>3172</v>
      </c>
      <c r="C231" s="37" t="s">
        <v>3129</v>
      </c>
      <c r="D231" s="37" t="s">
        <v>3130</v>
      </c>
      <c r="E231" s="37"/>
      <c r="F231" s="37" t="s">
        <v>3129</v>
      </c>
      <c r="G231" s="37" t="s">
        <v>3130</v>
      </c>
      <c r="H231" s="35"/>
      <c r="J231" s="35"/>
      <c r="K231" s="35"/>
      <c r="L231" s="35"/>
      <c r="M231" s="35"/>
      <c r="N231" s="35"/>
      <c r="O231" s="35"/>
      <c r="P231" s="35"/>
      <c r="Q231" s="35"/>
    </row>
    <row r="232" spans="1:17">
      <c r="A232" s="36" t="s">
        <v>937</v>
      </c>
      <c r="B232" s="36" t="s">
        <v>3173</v>
      </c>
      <c r="C232" s="37" t="s">
        <v>3129</v>
      </c>
      <c r="D232" s="37" t="s">
        <v>3130</v>
      </c>
      <c r="E232" s="37"/>
      <c r="F232" s="37" t="s">
        <v>3129</v>
      </c>
      <c r="G232" s="37" t="s">
        <v>3130</v>
      </c>
      <c r="H232" s="35"/>
      <c r="J232" s="35"/>
      <c r="K232" s="35"/>
      <c r="L232" s="35"/>
      <c r="M232" s="35"/>
      <c r="N232" s="35"/>
      <c r="O232" s="35"/>
      <c r="P232" s="35"/>
      <c r="Q232" s="35"/>
    </row>
    <row r="233" spans="1:17">
      <c r="A233" s="36" t="s">
        <v>941</v>
      </c>
      <c r="B233" s="36" t="s">
        <v>3174</v>
      </c>
      <c r="C233" s="37" t="s">
        <v>3129</v>
      </c>
      <c r="D233" s="37" t="s">
        <v>3130</v>
      </c>
      <c r="E233" s="37"/>
      <c r="F233" s="37" t="s">
        <v>3129</v>
      </c>
      <c r="G233" s="37" t="s">
        <v>3130</v>
      </c>
      <c r="H233" s="35"/>
      <c r="J233" s="35"/>
      <c r="K233" s="35"/>
      <c r="L233" s="35"/>
      <c r="M233" s="35"/>
      <c r="N233" s="35"/>
      <c r="O233" s="35"/>
      <c r="P233" s="35"/>
      <c r="Q233" s="35"/>
    </row>
    <row r="234" spans="1:17">
      <c r="A234" s="36" t="s">
        <v>945</v>
      </c>
      <c r="B234" s="36" t="s">
        <v>3175</v>
      </c>
      <c r="C234" s="37" t="s">
        <v>3176</v>
      </c>
      <c r="D234" s="37" t="s">
        <v>3177</v>
      </c>
      <c r="E234" s="37"/>
      <c r="F234" s="37" t="s">
        <v>3176</v>
      </c>
      <c r="G234" s="37" t="s">
        <v>3177</v>
      </c>
      <c r="H234" s="35"/>
      <c r="J234" s="35"/>
      <c r="K234" s="35"/>
      <c r="L234" s="35"/>
      <c r="M234" s="35"/>
      <c r="N234" s="35"/>
      <c r="O234" s="35"/>
      <c r="P234" s="35"/>
      <c r="Q234" s="35"/>
    </row>
    <row r="235" spans="1:17">
      <c r="A235" s="36" t="s">
        <v>949</v>
      </c>
      <c r="B235" s="36" t="s">
        <v>3178</v>
      </c>
      <c r="C235" s="37" t="s">
        <v>3129</v>
      </c>
      <c r="D235" s="37" t="s">
        <v>3130</v>
      </c>
      <c r="E235" s="37"/>
      <c r="F235" s="37" t="s">
        <v>3129</v>
      </c>
      <c r="G235" s="37" t="s">
        <v>3130</v>
      </c>
      <c r="H235" s="35"/>
      <c r="J235" s="35"/>
      <c r="K235" s="35"/>
      <c r="L235" s="35"/>
      <c r="M235" s="35"/>
      <c r="N235" s="35"/>
      <c r="O235" s="35"/>
      <c r="P235" s="35"/>
      <c r="Q235" s="35"/>
    </row>
    <row r="236" spans="1:17">
      <c r="A236" s="36" t="s">
        <v>953</v>
      </c>
      <c r="B236" s="36" t="s">
        <v>3179</v>
      </c>
      <c r="C236" s="37" t="s">
        <v>3129</v>
      </c>
      <c r="D236" s="37" t="s">
        <v>3130</v>
      </c>
      <c r="E236" s="37"/>
      <c r="F236" s="37" t="s">
        <v>3129</v>
      </c>
      <c r="G236" s="37" t="s">
        <v>3130</v>
      </c>
      <c r="H236" s="35"/>
      <c r="J236" s="35"/>
      <c r="K236" s="35"/>
      <c r="L236" s="35"/>
      <c r="M236" s="35"/>
      <c r="N236" s="35"/>
      <c r="O236" s="35"/>
      <c r="P236" s="35"/>
      <c r="Q236" s="35"/>
    </row>
    <row r="237" spans="1:17">
      <c r="A237" s="36" t="s">
        <v>957</v>
      </c>
      <c r="B237" s="36" t="s">
        <v>3180</v>
      </c>
      <c r="C237" s="37" t="s">
        <v>3129</v>
      </c>
      <c r="D237" s="37" t="s">
        <v>3130</v>
      </c>
      <c r="E237" s="37"/>
      <c r="F237" s="37" t="s">
        <v>3129</v>
      </c>
      <c r="G237" s="37" t="s">
        <v>3130</v>
      </c>
      <c r="H237" s="35"/>
      <c r="J237" s="35"/>
      <c r="K237" s="35"/>
      <c r="L237" s="35"/>
      <c r="M237" s="35"/>
      <c r="N237" s="35"/>
      <c r="O237" s="35"/>
      <c r="P237" s="35"/>
      <c r="Q237" s="35"/>
    </row>
    <row r="238" spans="1:17">
      <c r="A238" s="36" t="s">
        <v>961</v>
      </c>
      <c r="B238" s="36" t="s">
        <v>3181</v>
      </c>
      <c r="C238" s="37" t="s">
        <v>3129</v>
      </c>
      <c r="D238" s="37" t="s">
        <v>3130</v>
      </c>
      <c r="E238" s="37"/>
      <c r="F238" s="37" t="s">
        <v>3129</v>
      </c>
      <c r="G238" s="37" t="s">
        <v>3130</v>
      </c>
      <c r="H238" s="35"/>
      <c r="J238" s="35"/>
      <c r="K238" s="35"/>
      <c r="L238" s="35"/>
      <c r="M238" s="35"/>
      <c r="N238" s="35"/>
      <c r="O238" s="35"/>
      <c r="P238" s="35"/>
      <c r="Q238" s="35"/>
    </row>
    <row r="239" spans="1:17">
      <c r="A239" s="36" t="s">
        <v>965</v>
      </c>
      <c r="B239" s="36" t="s">
        <v>3182</v>
      </c>
      <c r="C239" s="37" t="s">
        <v>3129</v>
      </c>
      <c r="D239" s="37" t="s">
        <v>3130</v>
      </c>
      <c r="E239" s="37"/>
      <c r="F239" s="37" t="s">
        <v>3129</v>
      </c>
      <c r="G239" s="37" t="s">
        <v>3130</v>
      </c>
      <c r="H239" s="35"/>
      <c r="J239" s="35"/>
      <c r="K239" s="35"/>
      <c r="L239" s="35"/>
      <c r="M239" s="35"/>
      <c r="N239" s="35"/>
      <c r="O239" s="35"/>
      <c r="P239" s="35"/>
      <c r="Q239" s="35"/>
    </row>
    <row r="240" spans="1:17">
      <c r="A240" s="36" t="s">
        <v>969</v>
      </c>
      <c r="B240" s="36" t="s">
        <v>3183</v>
      </c>
      <c r="C240" s="37" t="s">
        <v>3129</v>
      </c>
      <c r="D240" s="37" t="s">
        <v>3130</v>
      </c>
      <c r="E240" s="37"/>
      <c r="F240" s="37" t="s">
        <v>3129</v>
      </c>
      <c r="G240" s="37" t="s">
        <v>3130</v>
      </c>
      <c r="H240" s="35"/>
      <c r="J240" s="35"/>
      <c r="K240" s="35"/>
      <c r="L240" s="35"/>
      <c r="M240" s="35"/>
      <c r="N240" s="35"/>
      <c r="O240" s="35"/>
      <c r="P240" s="35"/>
      <c r="Q240" s="35"/>
    </row>
    <row r="241" spans="1:17">
      <c r="A241" s="36" t="s">
        <v>973</v>
      </c>
      <c r="B241" s="36" t="s">
        <v>3184</v>
      </c>
      <c r="C241" s="37" t="s">
        <v>3129</v>
      </c>
      <c r="D241" s="37" t="s">
        <v>3130</v>
      </c>
      <c r="E241" s="37"/>
      <c r="F241" s="37" t="s">
        <v>3129</v>
      </c>
      <c r="G241" s="37" t="s">
        <v>3130</v>
      </c>
      <c r="H241" s="35"/>
      <c r="J241" s="35"/>
      <c r="K241" s="35"/>
      <c r="L241" s="35"/>
      <c r="M241" s="35"/>
      <c r="N241" s="35"/>
      <c r="O241" s="35"/>
      <c r="P241" s="35"/>
      <c r="Q241" s="35"/>
    </row>
    <row r="242" spans="1:17">
      <c r="A242" s="36" t="s">
        <v>977</v>
      </c>
      <c r="B242" s="36" t="s">
        <v>3185</v>
      </c>
      <c r="C242" s="37" t="s">
        <v>3129</v>
      </c>
      <c r="D242" s="37" t="s">
        <v>3130</v>
      </c>
      <c r="E242" s="37"/>
      <c r="F242" s="37" t="s">
        <v>3129</v>
      </c>
      <c r="G242" s="37" t="s">
        <v>3130</v>
      </c>
      <c r="H242" s="35"/>
      <c r="J242" s="35"/>
      <c r="K242" s="35"/>
      <c r="L242" s="35"/>
      <c r="M242" s="35"/>
      <c r="N242" s="35"/>
      <c r="O242" s="35"/>
      <c r="P242" s="35"/>
      <c r="Q242" s="35"/>
    </row>
    <row r="243" spans="1:17">
      <c r="A243" s="36" t="s">
        <v>981</v>
      </c>
      <c r="B243" s="36" t="s">
        <v>3186</v>
      </c>
      <c r="C243" s="37" t="s">
        <v>3129</v>
      </c>
      <c r="D243" s="37" t="s">
        <v>3130</v>
      </c>
      <c r="E243" s="37"/>
      <c r="F243" s="37" t="s">
        <v>3129</v>
      </c>
      <c r="G243" s="37" t="s">
        <v>3130</v>
      </c>
      <c r="H243" s="35"/>
      <c r="J243" s="35"/>
      <c r="K243" s="35"/>
      <c r="L243" s="35"/>
      <c r="M243" s="35"/>
      <c r="N243" s="35"/>
      <c r="O243" s="35"/>
      <c r="P243" s="35"/>
      <c r="Q243" s="35"/>
    </row>
    <row r="244" spans="1:17">
      <c r="A244" s="36" t="s">
        <v>985</v>
      </c>
      <c r="B244" s="36" t="s">
        <v>3187</v>
      </c>
      <c r="C244" s="37" t="s">
        <v>3129</v>
      </c>
      <c r="D244" s="37" t="s">
        <v>3130</v>
      </c>
      <c r="E244" s="37"/>
      <c r="F244" s="37" t="s">
        <v>3129</v>
      </c>
      <c r="G244" s="37" t="s">
        <v>3130</v>
      </c>
      <c r="H244" s="35"/>
      <c r="J244" s="35"/>
      <c r="K244" s="35"/>
      <c r="L244" s="35"/>
      <c r="M244" s="35"/>
      <c r="N244" s="35"/>
      <c r="O244" s="35"/>
      <c r="P244" s="35"/>
      <c r="Q244" s="35"/>
    </row>
    <row r="245" spans="1:17">
      <c r="A245" s="36" t="s">
        <v>3188</v>
      </c>
      <c r="B245" s="36" t="s">
        <v>3189</v>
      </c>
      <c r="C245" s="37"/>
      <c r="D245" s="37"/>
      <c r="E245" s="37"/>
      <c r="F245" s="37"/>
      <c r="G245" s="37"/>
      <c r="H245" s="35"/>
      <c r="J245" s="35"/>
      <c r="K245" s="35"/>
      <c r="L245" s="35"/>
      <c r="M245" s="35"/>
      <c r="N245" s="35"/>
      <c r="O245" s="35"/>
      <c r="P245" s="35"/>
      <c r="Q245" s="35"/>
    </row>
    <row r="246" spans="1:17">
      <c r="A246" s="36" t="s">
        <v>989</v>
      </c>
      <c r="B246" s="36" t="s">
        <v>3190</v>
      </c>
      <c r="C246" s="37" t="s">
        <v>3191</v>
      </c>
      <c r="D246" s="37" t="s">
        <v>3192</v>
      </c>
      <c r="E246" s="37"/>
      <c r="F246" s="37" t="s">
        <v>3191</v>
      </c>
      <c r="G246" s="37" t="s">
        <v>3192</v>
      </c>
      <c r="H246" s="35"/>
      <c r="J246" s="35"/>
      <c r="K246" s="35"/>
      <c r="L246" s="35"/>
      <c r="M246" s="35"/>
      <c r="N246" s="35"/>
      <c r="O246" s="35"/>
      <c r="P246" s="35"/>
      <c r="Q246" s="35"/>
    </row>
    <row r="247" spans="1:17">
      <c r="A247" s="36" t="s">
        <v>993</v>
      </c>
      <c r="B247" s="36" t="s">
        <v>3193</v>
      </c>
      <c r="C247" s="37" t="s">
        <v>3194</v>
      </c>
      <c r="D247" s="37" t="s">
        <v>3195</v>
      </c>
      <c r="E247" s="37"/>
      <c r="F247" s="37" t="s">
        <v>3194</v>
      </c>
      <c r="G247" s="37" t="s">
        <v>3195</v>
      </c>
      <c r="H247" s="35"/>
      <c r="J247" s="35"/>
      <c r="K247" s="35"/>
      <c r="L247" s="35"/>
      <c r="M247" s="35"/>
      <c r="N247" s="35"/>
      <c r="O247" s="35"/>
      <c r="P247" s="35"/>
      <c r="Q247" s="35"/>
    </row>
    <row r="248" spans="1:17">
      <c r="A248" s="36" t="s">
        <v>997</v>
      </c>
      <c r="B248" s="36" t="s">
        <v>3196</v>
      </c>
      <c r="C248" s="37" t="s">
        <v>3197</v>
      </c>
      <c r="D248" s="37" t="s">
        <v>3198</v>
      </c>
      <c r="E248" s="37"/>
      <c r="F248" s="37" t="s">
        <v>3197</v>
      </c>
      <c r="G248" s="37" t="s">
        <v>3198</v>
      </c>
      <c r="H248" s="35"/>
      <c r="J248" s="35"/>
      <c r="K248" s="35"/>
      <c r="L248" s="35"/>
      <c r="M248" s="35"/>
      <c r="N248" s="35"/>
      <c r="O248" s="35"/>
      <c r="P248" s="35"/>
      <c r="Q248" s="35"/>
    </row>
    <row r="249" spans="1:17">
      <c r="A249" s="36" t="s">
        <v>1001</v>
      </c>
      <c r="B249" s="36" t="s">
        <v>3199</v>
      </c>
      <c r="C249" s="37" t="s">
        <v>3197</v>
      </c>
      <c r="D249" s="37" t="s">
        <v>3198</v>
      </c>
      <c r="E249" s="37"/>
      <c r="F249" s="37" t="s">
        <v>3197</v>
      </c>
      <c r="G249" s="37" t="s">
        <v>3198</v>
      </c>
      <c r="H249" s="35"/>
      <c r="J249" s="35"/>
      <c r="K249" s="35"/>
      <c r="L249" s="35"/>
      <c r="M249" s="35"/>
      <c r="N249" s="35"/>
      <c r="O249" s="35"/>
      <c r="P249" s="35"/>
      <c r="Q249" s="35"/>
    </row>
    <row r="250" spans="1:17">
      <c r="A250" s="36" t="s">
        <v>1005</v>
      </c>
      <c r="B250" s="36" t="s">
        <v>3200</v>
      </c>
      <c r="C250" s="37" t="s">
        <v>3197</v>
      </c>
      <c r="D250" s="37" t="s">
        <v>3198</v>
      </c>
      <c r="E250" s="37"/>
      <c r="F250" s="37" t="s">
        <v>3197</v>
      </c>
      <c r="G250" s="37" t="s">
        <v>3198</v>
      </c>
      <c r="H250" s="35"/>
      <c r="J250" s="35"/>
      <c r="K250" s="35"/>
      <c r="L250" s="35"/>
      <c r="M250" s="35"/>
      <c r="N250" s="35"/>
      <c r="O250" s="35"/>
      <c r="P250" s="35"/>
      <c r="Q250" s="35"/>
    </row>
    <row r="251" spans="1:17">
      <c r="A251" s="36" t="s">
        <v>1009</v>
      </c>
      <c r="B251" s="36" t="s">
        <v>3201</v>
      </c>
      <c r="C251" s="37" t="s">
        <v>3197</v>
      </c>
      <c r="D251" s="37" t="s">
        <v>3198</v>
      </c>
      <c r="E251" s="37"/>
      <c r="F251" s="37" t="s">
        <v>3197</v>
      </c>
      <c r="G251" s="37" t="s">
        <v>3198</v>
      </c>
      <c r="H251" s="35"/>
      <c r="J251" s="35"/>
      <c r="K251" s="35"/>
      <c r="L251" s="35"/>
      <c r="M251" s="35"/>
      <c r="N251" s="35"/>
      <c r="O251" s="35"/>
      <c r="P251" s="35"/>
      <c r="Q251" s="35"/>
    </row>
    <row r="252" spans="1:17">
      <c r="A252" s="36" t="s">
        <v>1013</v>
      </c>
      <c r="B252" s="36" t="s">
        <v>3202</v>
      </c>
      <c r="C252" s="37" t="s">
        <v>3197</v>
      </c>
      <c r="D252" s="37" t="s">
        <v>3198</v>
      </c>
      <c r="E252" s="37"/>
      <c r="F252" s="37" t="s">
        <v>3197</v>
      </c>
      <c r="G252" s="37" t="s">
        <v>3198</v>
      </c>
      <c r="H252" s="35"/>
      <c r="J252" s="35"/>
      <c r="K252" s="35"/>
      <c r="L252" s="35"/>
      <c r="M252" s="35"/>
      <c r="N252" s="35"/>
      <c r="O252" s="35"/>
      <c r="P252" s="35"/>
      <c r="Q252" s="35"/>
    </row>
    <row r="253" spans="1:17">
      <c r="A253" s="36" t="s">
        <v>1017</v>
      </c>
      <c r="B253" s="36" t="s">
        <v>3203</v>
      </c>
      <c r="C253" s="37" t="s">
        <v>3197</v>
      </c>
      <c r="D253" s="37" t="s">
        <v>3198</v>
      </c>
      <c r="E253" s="37"/>
      <c r="F253" s="37" t="s">
        <v>3197</v>
      </c>
      <c r="G253" s="37" t="s">
        <v>3198</v>
      </c>
      <c r="H253" s="35"/>
      <c r="J253" s="35"/>
      <c r="K253" s="35"/>
      <c r="L253" s="35"/>
      <c r="M253" s="35"/>
      <c r="N253" s="35"/>
      <c r="O253" s="35"/>
      <c r="P253" s="35"/>
      <c r="Q253" s="35"/>
    </row>
    <row r="254" spans="1:17">
      <c r="A254" s="36" t="s">
        <v>1020</v>
      </c>
      <c r="B254" s="36" t="s">
        <v>3204</v>
      </c>
      <c r="C254" s="37" t="s">
        <v>3197</v>
      </c>
      <c r="D254" s="37" t="s">
        <v>3198</v>
      </c>
      <c r="E254" s="37"/>
      <c r="F254" s="37" t="s">
        <v>3197</v>
      </c>
      <c r="G254" s="37" t="s">
        <v>3198</v>
      </c>
      <c r="H254" s="35"/>
      <c r="J254" s="35"/>
      <c r="K254" s="35"/>
      <c r="L254" s="35"/>
      <c r="M254" s="35"/>
      <c r="N254" s="35"/>
      <c r="O254" s="35"/>
      <c r="P254" s="35"/>
      <c r="Q254" s="35"/>
    </row>
    <row r="255" spans="1:17">
      <c r="A255" s="36" t="s">
        <v>1024</v>
      </c>
      <c r="B255" s="36" t="s">
        <v>3205</v>
      </c>
      <c r="C255" s="37" t="s">
        <v>3197</v>
      </c>
      <c r="D255" s="37" t="s">
        <v>3198</v>
      </c>
      <c r="E255" s="37"/>
      <c r="F255" s="37" t="s">
        <v>3197</v>
      </c>
      <c r="G255" s="37" t="s">
        <v>3198</v>
      </c>
      <c r="H255" s="35"/>
      <c r="J255" s="35"/>
      <c r="K255" s="35"/>
      <c r="L255" s="35"/>
      <c r="M255" s="35"/>
      <c r="N255" s="35"/>
      <c r="O255" s="35"/>
      <c r="P255" s="35"/>
      <c r="Q255" s="35"/>
    </row>
    <row r="256" spans="1:17">
      <c r="A256" s="36" t="s">
        <v>1028</v>
      </c>
      <c r="B256" s="36" t="s">
        <v>3206</v>
      </c>
      <c r="C256" s="37" t="s">
        <v>3197</v>
      </c>
      <c r="D256" s="37" t="s">
        <v>3198</v>
      </c>
      <c r="E256" s="37"/>
      <c r="F256" s="37" t="s">
        <v>3197</v>
      </c>
      <c r="G256" s="37" t="s">
        <v>3198</v>
      </c>
      <c r="H256" s="35"/>
      <c r="J256" s="35"/>
      <c r="K256" s="35"/>
      <c r="L256" s="35"/>
      <c r="M256" s="35"/>
      <c r="N256" s="35"/>
      <c r="O256" s="35"/>
      <c r="P256" s="35"/>
      <c r="Q256" s="35"/>
    </row>
    <row r="257" spans="1:17">
      <c r="A257" s="36" t="s">
        <v>1032</v>
      </c>
      <c r="B257" s="36" t="s">
        <v>3207</v>
      </c>
      <c r="C257" s="37" t="s">
        <v>3197</v>
      </c>
      <c r="D257" s="37" t="s">
        <v>3198</v>
      </c>
      <c r="E257" s="37"/>
      <c r="F257" s="37" t="s">
        <v>3197</v>
      </c>
      <c r="G257" s="37" t="s">
        <v>3198</v>
      </c>
      <c r="H257" s="35"/>
      <c r="J257" s="35"/>
      <c r="K257" s="35"/>
      <c r="L257" s="35"/>
      <c r="M257" s="35"/>
      <c r="N257" s="35"/>
      <c r="O257" s="35"/>
      <c r="P257" s="35"/>
      <c r="Q257" s="35"/>
    </row>
    <row r="258" spans="1:17">
      <c r="A258" s="36" t="s">
        <v>1036</v>
      </c>
      <c r="B258" s="36" t="s">
        <v>3208</v>
      </c>
      <c r="C258" s="37" t="s">
        <v>3197</v>
      </c>
      <c r="D258" s="37" t="s">
        <v>3198</v>
      </c>
      <c r="E258" s="37"/>
      <c r="F258" s="37" t="s">
        <v>3197</v>
      </c>
      <c r="G258" s="37" t="s">
        <v>3198</v>
      </c>
      <c r="H258" s="35"/>
      <c r="J258" s="35"/>
      <c r="K258" s="35"/>
      <c r="L258" s="35"/>
      <c r="M258" s="35"/>
      <c r="N258" s="35"/>
      <c r="O258" s="35"/>
      <c r="P258" s="35"/>
      <c r="Q258" s="35"/>
    </row>
    <row r="259" spans="1:17">
      <c r="A259" s="36" t="s">
        <v>1040</v>
      </c>
      <c r="B259" s="36" t="s">
        <v>3209</v>
      </c>
      <c r="C259" s="37" t="s">
        <v>3197</v>
      </c>
      <c r="D259" s="37" t="s">
        <v>3198</v>
      </c>
      <c r="E259" s="37"/>
      <c r="F259" s="37" t="s">
        <v>3197</v>
      </c>
      <c r="G259" s="37" t="s">
        <v>3198</v>
      </c>
      <c r="H259" s="35"/>
      <c r="J259" s="35"/>
      <c r="K259" s="35"/>
      <c r="L259" s="35"/>
      <c r="M259" s="35"/>
      <c r="N259" s="35"/>
      <c r="O259" s="35"/>
      <c r="P259" s="35"/>
      <c r="Q259" s="35"/>
    </row>
    <row r="260" spans="1:17">
      <c r="A260" s="36" t="s">
        <v>1044</v>
      </c>
      <c r="B260" s="36" t="s">
        <v>3210</v>
      </c>
      <c r="C260" s="37" t="s">
        <v>3197</v>
      </c>
      <c r="D260" s="37" t="s">
        <v>3198</v>
      </c>
      <c r="E260" s="37"/>
      <c r="F260" s="37" t="s">
        <v>3197</v>
      </c>
      <c r="G260" s="37" t="s">
        <v>3198</v>
      </c>
      <c r="H260" s="35"/>
      <c r="J260" s="35"/>
      <c r="K260" s="35"/>
      <c r="L260" s="35"/>
      <c r="M260" s="35"/>
      <c r="N260" s="35"/>
      <c r="O260" s="35"/>
      <c r="P260" s="35"/>
      <c r="Q260" s="35"/>
    </row>
    <row r="261" spans="1:17">
      <c r="A261" s="36" t="s">
        <v>1048</v>
      </c>
      <c r="B261" s="36" t="s">
        <v>3211</v>
      </c>
      <c r="C261" s="37" t="s">
        <v>3197</v>
      </c>
      <c r="D261" s="37" t="s">
        <v>3198</v>
      </c>
      <c r="E261" s="37"/>
      <c r="F261" s="37" t="s">
        <v>3197</v>
      </c>
      <c r="G261" s="37" t="s">
        <v>3198</v>
      </c>
      <c r="H261" s="35"/>
      <c r="J261" s="35"/>
      <c r="K261" s="35"/>
      <c r="L261" s="35"/>
      <c r="M261" s="35"/>
      <c r="N261" s="35"/>
      <c r="O261" s="35"/>
      <c r="P261" s="35"/>
      <c r="Q261" s="35"/>
    </row>
    <row r="262" spans="1:17">
      <c r="A262" s="36" t="s">
        <v>1052</v>
      </c>
      <c r="B262" s="36" t="s">
        <v>3212</v>
      </c>
      <c r="C262" s="37" t="s">
        <v>3197</v>
      </c>
      <c r="D262" s="37" t="s">
        <v>3198</v>
      </c>
      <c r="E262" s="37"/>
      <c r="F262" s="37" t="s">
        <v>3197</v>
      </c>
      <c r="G262" s="37" t="s">
        <v>3198</v>
      </c>
      <c r="H262" s="35"/>
      <c r="J262" s="35"/>
      <c r="K262" s="35"/>
      <c r="L262" s="35"/>
      <c r="M262" s="35"/>
      <c r="N262" s="35"/>
      <c r="O262" s="35"/>
      <c r="P262" s="35"/>
      <c r="Q262" s="35"/>
    </row>
    <row r="263" spans="1:17">
      <c r="A263" s="36" t="s">
        <v>3213</v>
      </c>
      <c r="B263" s="36" t="s">
        <v>3214</v>
      </c>
      <c r="C263" s="37"/>
      <c r="D263" s="37"/>
      <c r="E263" s="37"/>
      <c r="F263" s="37"/>
      <c r="G263" s="37"/>
      <c r="H263" s="35"/>
      <c r="J263" s="35"/>
      <c r="K263" s="35"/>
      <c r="L263" s="35"/>
      <c r="M263" s="35"/>
      <c r="N263" s="35"/>
      <c r="O263" s="35"/>
      <c r="P263" s="35"/>
      <c r="Q263" s="35"/>
    </row>
    <row r="264" spans="1:17">
      <c r="A264" s="36" t="s">
        <v>1056</v>
      </c>
      <c r="B264" s="36" t="s">
        <v>3215</v>
      </c>
      <c r="C264" s="37" t="s">
        <v>3216</v>
      </c>
      <c r="D264" s="37" t="s">
        <v>3217</v>
      </c>
      <c r="E264" s="37"/>
      <c r="F264" s="37" t="s">
        <v>3216</v>
      </c>
      <c r="G264" s="37" t="s">
        <v>3217</v>
      </c>
      <c r="H264" s="35"/>
      <c r="J264" s="35"/>
      <c r="K264" s="35"/>
      <c r="L264" s="35"/>
      <c r="M264" s="35"/>
      <c r="N264" s="35"/>
      <c r="O264" s="35"/>
      <c r="P264" s="35"/>
      <c r="Q264" s="35"/>
    </row>
    <row r="265" spans="1:17">
      <c r="A265" s="36" t="s">
        <v>1060</v>
      </c>
      <c r="B265" s="36" t="s">
        <v>3218</v>
      </c>
      <c r="C265" s="37" t="s">
        <v>3216</v>
      </c>
      <c r="D265" s="37" t="s">
        <v>3217</v>
      </c>
      <c r="E265" s="37"/>
      <c r="F265" s="37" t="s">
        <v>3216</v>
      </c>
      <c r="G265" s="37" t="s">
        <v>3217</v>
      </c>
      <c r="H265" s="35"/>
      <c r="J265" s="35"/>
      <c r="K265" s="35"/>
      <c r="L265" s="35"/>
      <c r="M265" s="35"/>
      <c r="N265" s="35"/>
      <c r="O265" s="35"/>
      <c r="P265" s="35"/>
      <c r="Q265" s="35"/>
    </row>
    <row r="266" spans="1:17">
      <c r="A266" s="36" t="s">
        <v>1064</v>
      </c>
      <c r="B266" s="36" t="s">
        <v>3219</v>
      </c>
      <c r="C266" s="37" t="s">
        <v>2688</v>
      </c>
      <c r="D266" s="37" t="s">
        <v>2687</v>
      </c>
      <c r="E266" s="37"/>
      <c r="F266" s="37" t="s">
        <v>2688</v>
      </c>
      <c r="G266" s="37" t="s">
        <v>2687</v>
      </c>
      <c r="H266" s="35"/>
      <c r="J266" s="35"/>
      <c r="K266" s="35"/>
      <c r="L266" s="35"/>
      <c r="M266" s="35"/>
      <c r="N266" s="35"/>
      <c r="O266" s="35"/>
      <c r="P266" s="35"/>
      <c r="Q266" s="35"/>
    </row>
    <row r="267" spans="1:17">
      <c r="A267" s="36" t="s">
        <v>1068</v>
      </c>
      <c r="B267" s="36" t="s">
        <v>3220</v>
      </c>
      <c r="C267" s="37" t="s">
        <v>2688</v>
      </c>
      <c r="D267" s="37" t="s">
        <v>2687</v>
      </c>
      <c r="E267" s="37"/>
      <c r="F267" s="37" t="s">
        <v>2688</v>
      </c>
      <c r="G267" s="37" t="s">
        <v>2687</v>
      </c>
      <c r="H267" s="35"/>
      <c r="J267" s="35"/>
      <c r="K267" s="35"/>
      <c r="L267" s="35"/>
      <c r="M267" s="35"/>
      <c r="N267" s="35"/>
      <c r="O267" s="35"/>
      <c r="P267" s="35"/>
      <c r="Q267" s="35"/>
    </row>
    <row r="268" spans="1:17">
      <c r="A268" s="36" t="s">
        <v>1072</v>
      </c>
      <c r="B268" s="36" t="s">
        <v>3221</v>
      </c>
      <c r="C268" s="37" t="s">
        <v>3216</v>
      </c>
      <c r="D268" s="37" t="s">
        <v>3217</v>
      </c>
      <c r="E268" s="37"/>
      <c r="F268" s="37" t="s">
        <v>3216</v>
      </c>
      <c r="G268" s="37" t="s">
        <v>3217</v>
      </c>
      <c r="H268" s="35"/>
      <c r="J268" s="35"/>
      <c r="K268" s="35"/>
      <c r="L268" s="35"/>
      <c r="M268" s="35"/>
      <c r="N268" s="35"/>
      <c r="O268" s="35"/>
      <c r="P268" s="35"/>
      <c r="Q268" s="35"/>
    </row>
    <row r="269" spans="1:17">
      <c r="A269" s="36" t="s">
        <v>1076</v>
      </c>
      <c r="B269" s="36" t="s">
        <v>3222</v>
      </c>
      <c r="C269" s="37" t="s">
        <v>3216</v>
      </c>
      <c r="D269" s="37" t="s">
        <v>3217</v>
      </c>
      <c r="E269" s="37"/>
      <c r="F269" s="37" t="s">
        <v>3216</v>
      </c>
      <c r="G269" s="37" t="s">
        <v>3217</v>
      </c>
      <c r="H269" s="35"/>
      <c r="J269" s="35"/>
      <c r="K269" s="35"/>
      <c r="L269" s="35"/>
      <c r="M269" s="35"/>
      <c r="N269" s="35"/>
      <c r="O269" s="35"/>
      <c r="P269" s="35"/>
      <c r="Q269" s="35"/>
    </row>
    <row r="270" spans="1:17">
      <c r="A270" s="36" t="s">
        <v>1080</v>
      </c>
      <c r="B270" s="36" t="s">
        <v>3223</v>
      </c>
      <c r="C270" s="37" t="s">
        <v>3216</v>
      </c>
      <c r="D270" s="37" t="s">
        <v>3217</v>
      </c>
      <c r="E270" s="37"/>
      <c r="F270" s="37" t="s">
        <v>3216</v>
      </c>
      <c r="G270" s="37" t="s">
        <v>3217</v>
      </c>
      <c r="H270" s="35"/>
      <c r="J270" s="35"/>
      <c r="K270" s="35"/>
      <c r="L270" s="35"/>
      <c r="M270" s="35"/>
      <c r="N270" s="35"/>
      <c r="O270" s="35"/>
      <c r="P270" s="35"/>
      <c r="Q270" s="35"/>
    </row>
    <row r="271" spans="1:17">
      <c r="A271" s="36" t="s">
        <v>1084</v>
      </c>
      <c r="B271" s="36" t="s">
        <v>3224</v>
      </c>
      <c r="C271" s="37" t="s">
        <v>3216</v>
      </c>
      <c r="D271" s="37" t="s">
        <v>3217</v>
      </c>
      <c r="E271" s="37"/>
      <c r="F271" s="37" t="s">
        <v>3216</v>
      </c>
      <c r="G271" s="37" t="s">
        <v>3217</v>
      </c>
      <c r="H271" s="35"/>
      <c r="J271" s="35"/>
      <c r="K271" s="35"/>
      <c r="L271" s="35"/>
      <c r="M271" s="35"/>
      <c r="N271" s="35"/>
      <c r="O271" s="35"/>
      <c r="P271" s="35"/>
      <c r="Q271" s="35"/>
    </row>
    <row r="272" spans="1:17">
      <c r="A272" s="36" t="s">
        <v>1088</v>
      </c>
      <c r="B272" s="36" t="s">
        <v>3225</v>
      </c>
      <c r="C272" s="37" t="s">
        <v>3216</v>
      </c>
      <c r="D272" s="37" t="s">
        <v>3217</v>
      </c>
      <c r="E272" s="37"/>
      <c r="F272" s="37" t="s">
        <v>3216</v>
      </c>
      <c r="G272" s="37" t="s">
        <v>3217</v>
      </c>
      <c r="H272" s="35"/>
      <c r="J272" s="35"/>
      <c r="K272" s="35"/>
      <c r="L272" s="35"/>
      <c r="M272" s="35"/>
      <c r="N272" s="35"/>
      <c r="O272" s="35"/>
      <c r="P272" s="35"/>
      <c r="Q272" s="35"/>
    </row>
    <row r="273" spans="1:17">
      <c r="A273" s="36" t="s">
        <v>1092</v>
      </c>
      <c r="B273" s="36" t="s">
        <v>3226</v>
      </c>
      <c r="C273" s="37" t="s">
        <v>3216</v>
      </c>
      <c r="D273" s="37" t="s">
        <v>3217</v>
      </c>
      <c r="E273" s="37"/>
      <c r="F273" s="37" t="s">
        <v>3216</v>
      </c>
      <c r="G273" s="37" t="s">
        <v>3217</v>
      </c>
      <c r="H273" s="35"/>
      <c r="J273" s="35"/>
      <c r="K273" s="35"/>
      <c r="L273" s="35"/>
      <c r="M273" s="35"/>
      <c r="N273" s="35"/>
      <c r="O273" s="35"/>
      <c r="P273" s="35"/>
      <c r="Q273" s="35"/>
    </row>
    <row r="274" spans="1:17">
      <c r="A274" s="36" t="s">
        <v>1094</v>
      </c>
      <c r="B274" s="36" t="s">
        <v>3227</v>
      </c>
      <c r="C274" s="37" t="s">
        <v>3216</v>
      </c>
      <c r="D274" s="37" t="s">
        <v>3217</v>
      </c>
      <c r="E274" s="37"/>
      <c r="F274" s="37" t="s">
        <v>3216</v>
      </c>
      <c r="G274" s="37" t="s">
        <v>3217</v>
      </c>
      <c r="H274" s="35"/>
      <c r="J274" s="35"/>
      <c r="K274" s="35"/>
      <c r="L274" s="35"/>
      <c r="M274" s="35"/>
      <c r="N274" s="35"/>
      <c r="O274" s="35"/>
      <c r="P274" s="35"/>
      <c r="Q274" s="35"/>
    </row>
    <row r="275" spans="1:17">
      <c r="A275" s="36" t="s">
        <v>1096</v>
      </c>
      <c r="B275" s="36" t="s">
        <v>3228</v>
      </c>
      <c r="C275" s="37" t="s">
        <v>3229</v>
      </c>
      <c r="D275" s="37" t="s">
        <v>3230</v>
      </c>
      <c r="E275" s="37"/>
      <c r="F275" s="37" t="s">
        <v>3229</v>
      </c>
      <c r="G275" s="37" t="s">
        <v>3230</v>
      </c>
      <c r="H275" s="35"/>
      <c r="J275" s="35"/>
      <c r="K275" s="35"/>
      <c r="L275" s="35"/>
      <c r="M275" s="35"/>
      <c r="N275" s="35"/>
      <c r="O275" s="35"/>
      <c r="P275" s="35"/>
      <c r="Q275" s="35"/>
    </row>
    <row r="276" spans="1:17">
      <c r="A276" s="36" t="s">
        <v>1098</v>
      </c>
      <c r="B276" s="36" t="s">
        <v>3231</v>
      </c>
      <c r="C276" s="37" t="s">
        <v>3216</v>
      </c>
      <c r="D276" s="37" t="s">
        <v>3217</v>
      </c>
      <c r="E276" s="37"/>
      <c r="F276" s="37" t="s">
        <v>3216</v>
      </c>
      <c r="G276" s="37" t="s">
        <v>3217</v>
      </c>
      <c r="H276" s="35"/>
      <c r="J276" s="35"/>
      <c r="K276" s="35"/>
      <c r="L276" s="35"/>
      <c r="M276" s="35"/>
      <c r="N276" s="35"/>
      <c r="O276" s="35"/>
      <c r="P276" s="35"/>
      <c r="Q276" s="35"/>
    </row>
    <row r="277" spans="1:17">
      <c r="A277" s="36" t="s">
        <v>3232</v>
      </c>
      <c r="B277" s="36" t="s">
        <v>3233</v>
      </c>
      <c r="C277" s="37"/>
      <c r="D277" s="37"/>
      <c r="E277" s="37"/>
      <c r="F277" s="37"/>
      <c r="G277" s="37"/>
      <c r="H277" s="35"/>
      <c r="J277" s="35"/>
      <c r="K277" s="35"/>
      <c r="L277" s="35"/>
      <c r="M277" s="35"/>
      <c r="N277" s="35"/>
      <c r="O277" s="35"/>
      <c r="P277" s="35"/>
      <c r="Q277" s="35"/>
    </row>
    <row r="278" spans="1:17">
      <c r="A278" s="36" t="s">
        <v>1100</v>
      </c>
      <c r="B278" s="36" t="s">
        <v>3234</v>
      </c>
      <c r="C278" s="37" t="s">
        <v>3235</v>
      </c>
      <c r="D278" s="37" t="s">
        <v>3236</v>
      </c>
      <c r="E278" s="37"/>
      <c r="F278" s="37" t="s">
        <v>3235</v>
      </c>
      <c r="G278" s="37" t="s">
        <v>3236</v>
      </c>
      <c r="H278" s="35"/>
      <c r="J278" s="35"/>
      <c r="K278" s="35"/>
      <c r="L278" s="35"/>
      <c r="M278" s="35"/>
      <c r="N278" s="35"/>
      <c r="O278" s="35"/>
      <c r="P278" s="35"/>
      <c r="Q278" s="35"/>
    </row>
    <row r="279" spans="1:17">
      <c r="A279" s="36" t="s">
        <v>1102</v>
      </c>
      <c r="B279" s="36" t="s">
        <v>3237</v>
      </c>
      <c r="C279" s="37" t="s">
        <v>3235</v>
      </c>
      <c r="D279" s="37" t="s">
        <v>3236</v>
      </c>
      <c r="E279" s="37"/>
      <c r="F279" s="37" t="s">
        <v>3235</v>
      </c>
      <c r="G279" s="37" t="s">
        <v>3236</v>
      </c>
      <c r="H279" s="35"/>
      <c r="J279" s="35"/>
      <c r="K279" s="35"/>
      <c r="L279" s="35"/>
      <c r="M279" s="35"/>
      <c r="N279" s="35"/>
      <c r="O279" s="35"/>
      <c r="P279" s="35"/>
      <c r="Q279" s="35"/>
    </row>
    <row r="280" spans="1:17">
      <c r="A280" s="36" t="s">
        <v>1104</v>
      </c>
      <c r="B280" s="36" t="s">
        <v>3238</v>
      </c>
      <c r="C280" s="37" t="s">
        <v>3235</v>
      </c>
      <c r="D280" s="37" t="s">
        <v>3236</v>
      </c>
      <c r="E280" s="37"/>
      <c r="F280" s="37" t="s">
        <v>3235</v>
      </c>
      <c r="G280" s="37" t="s">
        <v>3236</v>
      </c>
      <c r="H280" s="35"/>
      <c r="J280" s="35"/>
      <c r="K280" s="35"/>
      <c r="L280" s="35"/>
      <c r="M280" s="35"/>
      <c r="N280" s="35"/>
      <c r="O280" s="35"/>
      <c r="P280" s="35"/>
      <c r="Q280" s="35"/>
    </row>
    <row r="281" spans="1:17">
      <c r="A281" s="36" t="s">
        <v>1106</v>
      </c>
      <c r="B281" s="36" t="s">
        <v>3239</v>
      </c>
      <c r="C281" s="37" t="s">
        <v>3235</v>
      </c>
      <c r="D281" s="37" t="s">
        <v>3236</v>
      </c>
      <c r="E281" s="37"/>
      <c r="F281" s="37" t="s">
        <v>3235</v>
      </c>
      <c r="G281" s="37" t="s">
        <v>3236</v>
      </c>
      <c r="H281" s="35"/>
      <c r="J281" s="35"/>
      <c r="K281" s="35"/>
      <c r="L281" s="35"/>
      <c r="M281" s="35"/>
      <c r="N281" s="35"/>
      <c r="O281" s="35"/>
      <c r="P281" s="35"/>
      <c r="Q281" s="35"/>
    </row>
    <row r="282" spans="1:17">
      <c r="A282" s="36" t="s">
        <v>1108</v>
      </c>
      <c r="B282" s="36" t="s">
        <v>3240</v>
      </c>
      <c r="C282" s="37" t="s">
        <v>3235</v>
      </c>
      <c r="D282" s="37" t="s">
        <v>3236</v>
      </c>
      <c r="E282" s="37"/>
      <c r="F282" s="37" t="s">
        <v>3235</v>
      </c>
      <c r="G282" s="37" t="s">
        <v>3236</v>
      </c>
      <c r="H282" s="35"/>
      <c r="J282" s="35"/>
      <c r="K282" s="35"/>
      <c r="L282" s="35"/>
      <c r="M282" s="35"/>
      <c r="N282" s="35"/>
      <c r="O282" s="35"/>
      <c r="P282" s="35"/>
      <c r="Q282" s="35"/>
    </row>
    <row r="283" spans="1:17">
      <c r="A283" s="36" t="s">
        <v>1110</v>
      </c>
      <c r="B283" s="36" t="s">
        <v>3241</v>
      </c>
      <c r="C283" s="37" t="s">
        <v>3235</v>
      </c>
      <c r="D283" s="37" t="s">
        <v>3236</v>
      </c>
      <c r="E283" s="37"/>
      <c r="F283" s="37" t="s">
        <v>3235</v>
      </c>
      <c r="G283" s="37" t="s">
        <v>3236</v>
      </c>
      <c r="H283" s="35"/>
      <c r="J283" s="35"/>
      <c r="K283" s="35"/>
      <c r="L283" s="35"/>
      <c r="M283" s="35"/>
      <c r="N283" s="35"/>
      <c r="O283" s="35"/>
      <c r="P283" s="35"/>
      <c r="Q283" s="35"/>
    </row>
    <row r="284" spans="1:17">
      <c r="A284" s="36" t="s">
        <v>1112</v>
      </c>
      <c r="B284" s="36" t="s">
        <v>3242</v>
      </c>
      <c r="C284" s="37" t="s">
        <v>1236</v>
      </c>
      <c r="D284" s="37" t="s">
        <v>3243</v>
      </c>
      <c r="E284" s="37"/>
      <c r="F284" s="37" t="s">
        <v>1236</v>
      </c>
      <c r="G284" s="37" t="s">
        <v>3243</v>
      </c>
      <c r="H284" s="35"/>
      <c r="J284" s="35"/>
      <c r="K284" s="35"/>
      <c r="L284" s="35"/>
      <c r="M284" s="35"/>
      <c r="N284" s="35"/>
      <c r="O284" s="35"/>
      <c r="P284" s="35"/>
      <c r="Q284" s="35"/>
    </row>
    <row r="285" spans="1:17">
      <c r="A285" s="36" t="s">
        <v>1114</v>
      </c>
      <c r="B285" s="36" t="s">
        <v>3244</v>
      </c>
      <c r="C285" s="37" t="s">
        <v>3235</v>
      </c>
      <c r="D285" s="37" t="s">
        <v>3236</v>
      </c>
      <c r="E285" s="37"/>
      <c r="F285" s="37" t="s">
        <v>3235</v>
      </c>
      <c r="G285" s="37" t="s">
        <v>3236</v>
      </c>
      <c r="H285" s="35"/>
      <c r="J285" s="35"/>
      <c r="K285" s="35"/>
      <c r="L285" s="35"/>
      <c r="M285" s="35"/>
      <c r="N285" s="35"/>
      <c r="O285" s="35"/>
      <c r="P285" s="35"/>
      <c r="Q285" s="35"/>
    </row>
    <row r="286" spans="1:17">
      <c r="A286" s="36" t="s">
        <v>1116</v>
      </c>
      <c r="B286" s="36" t="s">
        <v>3245</v>
      </c>
      <c r="C286" s="37" t="s">
        <v>3235</v>
      </c>
      <c r="D286" s="37" t="s">
        <v>3236</v>
      </c>
      <c r="E286" s="37"/>
      <c r="F286" s="37" t="s">
        <v>3235</v>
      </c>
      <c r="G286" s="37" t="s">
        <v>3236</v>
      </c>
      <c r="H286" s="35"/>
      <c r="J286" s="35"/>
      <c r="K286" s="35"/>
      <c r="L286" s="35"/>
      <c r="M286" s="35"/>
      <c r="N286" s="35"/>
      <c r="O286" s="35"/>
      <c r="P286" s="35"/>
      <c r="Q286" s="35"/>
    </row>
    <row r="287" spans="1:17">
      <c r="A287" s="36" t="s">
        <v>1118</v>
      </c>
      <c r="B287" s="36" t="s">
        <v>3246</v>
      </c>
      <c r="C287" s="37" t="s">
        <v>3235</v>
      </c>
      <c r="D287" s="37" t="s">
        <v>3236</v>
      </c>
      <c r="E287" s="37"/>
      <c r="F287" s="37" t="s">
        <v>3235</v>
      </c>
      <c r="G287" s="37" t="s">
        <v>3236</v>
      </c>
      <c r="H287" s="35"/>
      <c r="J287" s="35"/>
      <c r="K287" s="35"/>
      <c r="L287" s="35"/>
      <c r="M287" s="35"/>
      <c r="N287" s="35"/>
      <c r="O287" s="35"/>
      <c r="P287" s="35"/>
      <c r="Q287" s="35"/>
    </row>
    <row r="288" spans="1:17">
      <c r="A288" s="36" t="s">
        <v>1120</v>
      </c>
      <c r="B288" s="36" t="s">
        <v>3247</v>
      </c>
      <c r="C288" s="37" t="s">
        <v>3248</v>
      </c>
      <c r="D288" s="37" t="s">
        <v>3249</v>
      </c>
      <c r="E288" s="37"/>
      <c r="F288" s="37" t="s">
        <v>3248</v>
      </c>
      <c r="G288" s="37" t="s">
        <v>3249</v>
      </c>
      <c r="H288" s="35"/>
      <c r="J288" s="35"/>
      <c r="K288" s="35"/>
      <c r="L288" s="35"/>
      <c r="M288" s="35"/>
      <c r="N288" s="35"/>
      <c r="O288" s="35"/>
      <c r="P288" s="35"/>
      <c r="Q288" s="35"/>
    </row>
    <row r="289" spans="1:17">
      <c r="A289" s="36" t="s">
        <v>1122</v>
      </c>
      <c r="B289" s="36" t="s">
        <v>3250</v>
      </c>
      <c r="C289" s="37" t="s">
        <v>3235</v>
      </c>
      <c r="D289" s="37" t="s">
        <v>3236</v>
      </c>
      <c r="E289" s="37"/>
      <c r="F289" s="37" t="s">
        <v>3235</v>
      </c>
      <c r="G289" s="37" t="s">
        <v>3236</v>
      </c>
      <c r="H289" s="35"/>
      <c r="J289" s="35"/>
      <c r="K289" s="35"/>
      <c r="L289" s="35"/>
      <c r="M289" s="35"/>
      <c r="N289" s="35"/>
      <c r="O289" s="35"/>
      <c r="P289" s="35"/>
      <c r="Q289" s="35"/>
    </row>
    <row r="290" spans="1:17">
      <c r="A290" s="36" t="s">
        <v>1124</v>
      </c>
      <c r="B290" s="36" t="s">
        <v>3251</v>
      </c>
      <c r="C290" s="37" t="s">
        <v>3235</v>
      </c>
      <c r="D290" s="37" t="s">
        <v>3236</v>
      </c>
      <c r="E290" s="37"/>
      <c r="F290" s="37" t="s">
        <v>3235</v>
      </c>
      <c r="G290" s="37" t="s">
        <v>3236</v>
      </c>
      <c r="H290" s="35"/>
      <c r="J290" s="35"/>
      <c r="K290" s="35"/>
      <c r="L290" s="35"/>
      <c r="M290" s="35"/>
      <c r="N290" s="35"/>
      <c r="O290" s="35"/>
      <c r="P290" s="35"/>
      <c r="Q290" s="35"/>
    </row>
    <row r="291" spans="1:17">
      <c r="A291" s="36" t="s">
        <v>1126</v>
      </c>
      <c r="B291" s="36" t="s">
        <v>3252</v>
      </c>
      <c r="C291" s="37" t="s">
        <v>3235</v>
      </c>
      <c r="D291" s="37" t="s">
        <v>3236</v>
      </c>
      <c r="E291" s="37"/>
      <c r="F291" s="37" t="s">
        <v>3235</v>
      </c>
      <c r="G291" s="37" t="s">
        <v>3236</v>
      </c>
      <c r="H291" s="35"/>
      <c r="J291" s="35"/>
      <c r="K291" s="35"/>
      <c r="L291" s="35"/>
      <c r="M291" s="35"/>
      <c r="N291" s="35"/>
      <c r="O291" s="35"/>
      <c r="P291" s="35"/>
      <c r="Q291" s="35"/>
    </row>
    <row r="292" spans="1:17">
      <c r="A292" s="36" t="s">
        <v>1128</v>
      </c>
      <c r="B292" s="36" t="s">
        <v>3253</v>
      </c>
      <c r="C292" s="37" t="s">
        <v>3235</v>
      </c>
      <c r="D292" s="37" t="s">
        <v>3236</v>
      </c>
      <c r="E292" s="37"/>
      <c r="F292" s="37" t="s">
        <v>3235</v>
      </c>
      <c r="G292" s="37" t="s">
        <v>3236</v>
      </c>
      <c r="H292" s="35"/>
      <c r="J292" s="35"/>
      <c r="K292" s="35"/>
      <c r="L292" s="35"/>
      <c r="M292" s="35"/>
      <c r="N292" s="35"/>
      <c r="O292" s="35"/>
      <c r="P292" s="35"/>
      <c r="Q292" s="35"/>
    </row>
    <row r="293" spans="1:17">
      <c r="A293" s="36" t="s">
        <v>1130</v>
      </c>
      <c r="B293" s="36" t="s">
        <v>3254</v>
      </c>
      <c r="C293" s="37" t="s">
        <v>3235</v>
      </c>
      <c r="D293" s="37" t="s">
        <v>3236</v>
      </c>
      <c r="E293" s="37"/>
      <c r="F293" s="37" t="s">
        <v>3235</v>
      </c>
      <c r="G293" s="37" t="s">
        <v>3236</v>
      </c>
      <c r="H293" s="35"/>
      <c r="J293" s="35"/>
      <c r="K293" s="35"/>
      <c r="L293" s="35"/>
      <c r="M293" s="35"/>
      <c r="N293" s="35"/>
      <c r="O293" s="35"/>
      <c r="P293" s="35"/>
      <c r="Q293" s="35"/>
    </row>
    <row r="294" spans="1:17">
      <c r="A294" s="36" t="s">
        <v>1132</v>
      </c>
      <c r="B294" s="36" t="s">
        <v>3255</v>
      </c>
      <c r="C294" s="37" t="s">
        <v>3235</v>
      </c>
      <c r="D294" s="37" t="s">
        <v>3236</v>
      </c>
      <c r="E294" s="37"/>
      <c r="F294" s="37" t="s">
        <v>3235</v>
      </c>
      <c r="G294" s="37" t="s">
        <v>3236</v>
      </c>
      <c r="H294" s="35"/>
      <c r="J294" s="35"/>
      <c r="K294" s="35"/>
      <c r="L294" s="35"/>
      <c r="M294" s="35"/>
      <c r="N294" s="35"/>
      <c r="O294" s="35"/>
      <c r="P294" s="35"/>
      <c r="Q294" s="35"/>
    </row>
    <row r="295" spans="1:17">
      <c r="A295" s="36" t="s">
        <v>3256</v>
      </c>
      <c r="B295" s="36" t="s">
        <v>3257</v>
      </c>
      <c r="C295" s="37"/>
      <c r="D295" s="37"/>
      <c r="E295" s="37"/>
      <c r="F295" s="37"/>
      <c r="G295" s="37"/>
      <c r="H295" s="35"/>
      <c r="J295" s="35"/>
      <c r="K295" s="35"/>
      <c r="L295" s="35"/>
      <c r="M295" s="35"/>
      <c r="N295" s="35"/>
      <c r="O295" s="35"/>
      <c r="P295" s="35"/>
      <c r="Q295" s="35"/>
    </row>
    <row r="296" spans="1:17">
      <c r="A296" s="36" t="s">
        <v>1134</v>
      </c>
      <c r="B296" s="36" t="s">
        <v>3258</v>
      </c>
      <c r="C296" s="37" t="s">
        <v>3259</v>
      </c>
      <c r="D296" s="37" t="s">
        <v>3260</v>
      </c>
      <c r="E296" s="37"/>
      <c r="F296" s="37" t="s">
        <v>3259</v>
      </c>
      <c r="G296" s="37" t="s">
        <v>3260</v>
      </c>
      <c r="H296" s="35"/>
      <c r="J296" s="35"/>
      <c r="K296" s="35"/>
      <c r="L296" s="35"/>
      <c r="M296" s="35"/>
      <c r="N296" s="35"/>
      <c r="O296" s="35"/>
      <c r="P296" s="35"/>
      <c r="Q296" s="35"/>
    </row>
    <row r="297" spans="1:17">
      <c r="A297" s="36" t="s">
        <v>1136</v>
      </c>
      <c r="B297" s="36" t="s">
        <v>3261</v>
      </c>
      <c r="C297" s="37" t="s">
        <v>3259</v>
      </c>
      <c r="D297" s="37" t="s">
        <v>3260</v>
      </c>
      <c r="E297" s="37"/>
      <c r="F297" s="37" t="s">
        <v>3259</v>
      </c>
      <c r="G297" s="37" t="s">
        <v>3260</v>
      </c>
      <c r="H297" s="35"/>
      <c r="J297" s="35"/>
      <c r="K297" s="35"/>
      <c r="L297" s="35"/>
      <c r="M297" s="35"/>
      <c r="N297" s="35"/>
      <c r="O297" s="35"/>
      <c r="P297" s="35"/>
      <c r="Q297" s="35"/>
    </row>
    <row r="298" spans="1:17">
      <c r="A298" s="36" t="s">
        <v>1138</v>
      </c>
      <c r="B298" s="36" t="s">
        <v>3262</v>
      </c>
      <c r="C298" s="37" t="s">
        <v>3259</v>
      </c>
      <c r="D298" s="37" t="s">
        <v>3260</v>
      </c>
      <c r="E298" s="37"/>
      <c r="F298" s="37" t="s">
        <v>3259</v>
      </c>
      <c r="G298" s="37" t="s">
        <v>3260</v>
      </c>
      <c r="H298" s="35"/>
      <c r="J298" s="35"/>
      <c r="K298" s="35"/>
      <c r="L298" s="35"/>
      <c r="M298" s="35"/>
      <c r="N298" s="35"/>
      <c r="O298" s="35"/>
      <c r="P298" s="35"/>
      <c r="Q298" s="35"/>
    </row>
    <row r="299" spans="1:17">
      <c r="A299" s="36" t="s">
        <v>1140</v>
      </c>
      <c r="B299" s="36" t="s">
        <v>3263</v>
      </c>
      <c r="C299" s="37" t="s">
        <v>3264</v>
      </c>
      <c r="D299" s="37" t="s">
        <v>3265</v>
      </c>
      <c r="E299" s="37"/>
      <c r="F299" s="37" t="s">
        <v>3264</v>
      </c>
      <c r="G299" s="37" t="s">
        <v>3265</v>
      </c>
      <c r="H299" s="35"/>
      <c r="J299" s="35"/>
      <c r="K299" s="35"/>
      <c r="L299" s="35"/>
      <c r="M299" s="35"/>
      <c r="N299" s="35"/>
      <c r="O299" s="35"/>
      <c r="P299" s="35"/>
      <c r="Q299" s="35"/>
    </row>
    <row r="300" spans="1:17">
      <c r="A300" s="36" t="s">
        <v>1142</v>
      </c>
      <c r="B300" s="36" t="s">
        <v>3266</v>
      </c>
      <c r="C300" s="37" t="s">
        <v>3264</v>
      </c>
      <c r="D300" s="37" t="s">
        <v>3265</v>
      </c>
      <c r="E300" s="37"/>
      <c r="F300" s="37" t="s">
        <v>3264</v>
      </c>
      <c r="G300" s="37" t="s">
        <v>3265</v>
      </c>
      <c r="H300" s="35"/>
      <c r="J300" s="35"/>
      <c r="K300" s="35"/>
      <c r="L300" s="35"/>
      <c r="M300" s="35"/>
      <c r="N300" s="35"/>
      <c r="O300" s="35"/>
      <c r="P300" s="35"/>
      <c r="Q300" s="35"/>
    </row>
    <row r="301" spans="1:17">
      <c r="A301" s="36" t="s">
        <v>1144</v>
      </c>
      <c r="B301" s="36" t="s">
        <v>3267</v>
      </c>
      <c r="C301" s="37" t="s">
        <v>3264</v>
      </c>
      <c r="D301" s="37" t="s">
        <v>3265</v>
      </c>
      <c r="E301" s="37"/>
      <c r="F301" s="37" t="s">
        <v>3264</v>
      </c>
      <c r="G301" s="37" t="s">
        <v>3265</v>
      </c>
      <c r="H301" s="35"/>
      <c r="J301" s="35"/>
      <c r="K301" s="35"/>
      <c r="L301" s="35"/>
      <c r="M301" s="35"/>
      <c r="N301" s="35"/>
      <c r="O301" s="35"/>
      <c r="P301" s="35"/>
      <c r="Q301" s="35"/>
    </row>
    <row r="302" spans="1:17">
      <c r="A302" s="36" t="s">
        <v>1146</v>
      </c>
      <c r="B302" s="36" t="s">
        <v>3268</v>
      </c>
      <c r="C302" s="37" t="s">
        <v>3264</v>
      </c>
      <c r="D302" s="37" t="s">
        <v>3265</v>
      </c>
      <c r="E302" s="37"/>
      <c r="F302" s="37" t="s">
        <v>3264</v>
      </c>
      <c r="G302" s="37" t="s">
        <v>3265</v>
      </c>
      <c r="H302" s="35"/>
      <c r="J302" s="35"/>
      <c r="K302" s="35"/>
      <c r="L302" s="35"/>
      <c r="M302" s="35"/>
      <c r="N302" s="35"/>
      <c r="O302" s="35"/>
      <c r="P302" s="35"/>
      <c r="Q302" s="35"/>
    </row>
    <row r="303" spans="1:17">
      <c r="A303" s="36" t="s">
        <v>1148</v>
      </c>
      <c r="B303" s="36" t="s">
        <v>3269</v>
      </c>
      <c r="C303" s="37" t="s">
        <v>3264</v>
      </c>
      <c r="D303" s="37" t="s">
        <v>3265</v>
      </c>
      <c r="E303" s="37"/>
      <c r="F303" s="37" t="s">
        <v>3264</v>
      </c>
      <c r="G303" s="37" t="s">
        <v>3265</v>
      </c>
      <c r="H303" s="35"/>
      <c r="J303" s="35"/>
      <c r="K303" s="35"/>
      <c r="L303" s="35"/>
      <c r="M303" s="35"/>
      <c r="N303" s="35"/>
      <c r="O303" s="35"/>
      <c r="P303" s="35"/>
      <c r="Q303" s="35"/>
    </row>
    <row r="304" spans="1:17">
      <c r="A304" s="36" t="s">
        <v>1150</v>
      </c>
      <c r="B304" s="36" t="s">
        <v>3270</v>
      </c>
      <c r="C304" s="37" t="s">
        <v>3235</v>
      </c>
      <c r="D304" s="37" t="s">
        <v>3236</v>
      </c>
      <c r="E304" s="37"/>
      <c r="F304" s="37" t="s">
        <v>3235</v>
      </c>
      <c r="G304" s="37" t="s">
        <v>3236</v>
      </c>
      <c r="H304" s="35"/>
      <c r="J304" s="35"/>
      <c r="K304" s="35"/>
      <c r="L304" s="35"/>
      <c r="M304" s="35"/>
      <c r="N304" s="35"/>
      <c r="O304" s="35"/>
      <c r="P304" s="35"/>
      <c r="Q304" s="35"/>
    </row>
    <row r="305" spans="1:17">
      <c r="A305" s="36" t="s">
        <v>1152</v>
      </c>
      <c r="B305" s="36" t="s">
        <v>3271</v>
      </c>
      <c r="C305" s="37" t="s">
        <v>3235</v>
      </c>
      <c r="D305" s="37" t="s">
        <v>3236</v>
      </c>
      <c r="E305" s="37"/>
      <c r="F305" s="37" t="s">
        <v>3235</v>
      </c>
      <c r="G305" s="37" t="s">
        <v>3236</v>
      </c>
      <c r="H305" s="35"/>
      <c r="J305" s="35"/>
      <c r="K305" s="35"/>
      <c r="L305" s="35"/>
      <c r="M305" s="35"/>
      <c r="N305" s="35"/>
      <c r="O305" s="35"/>
      <c r="P305" s="35"/>
      <c r="Q305" s="35"/>
    </row>
    <row r="306" spans="1:17">
      <c r="A306" s="36" t="s">
        <v>1154</v>
      </c>
      <c r="B306" s="36" t="s">
        <v>3272</v>
      </c>
      <c r="C306" s="37" t="s">
        <v>3235</v>
      </c>
      <c r="D306" s="37" t="s">
        <v>3236</v>
      </c>
      <c r="E306" s="37"/>
      <c r="F306" s="37" t="s">
        <v>3235</v>
      </c>
      <c r="G306" s="37" t="s">
        <v>3236</v>
      </c>
      <c r="H306" s="35"/>
      <c r="J306" s="35"/>
      <c r="K306" s="35"/>
      <c r="L306" s="35"/>
      <c r="M306" s="35"/>
      <c r="N306" s="35"/>
      <c r="O306" s="35"/>
      <c r="P306" s="35"/>
      <c r="Q306" s="35"/>
    </row>
    <row r="307" spans="1:17">
      <c r="A307" s="36" t="s">
        <v>1156</v>
      </c>
      <c r="B307" s="36" t="s">
        <v>3273</v>
      </c>
      <c r="C307" s="37" t="s">
        <v>3274</v>
      </c>
      <c r="D307" s="37" t="s">
        <v>3275</v>
      </c>
      <c r="E307" s="37"/>
      <c r="F307" s="37" t="s">
        <v>3274</v>
      </c>
      <c r="G307" s="37" t="s">
        <v>3275</v>
      </c>
      <c r="H307" s="35"/>
      <c r="J307" s="35"/>
      <c r="K307" s="35"/>
      <c r="L307" s="35"/>
      <c r="M307" s="35"/>
      <c r="N307" s="35"/>
      <c r="O307" s="35"/>
      <c r="P307" s="35"/>
      <c r="Q307" s="35"/>
    </row>
    <row r="308" spans="1:17">
      <c r="A308" s="36" t="s">
        <v>1158</v>
      </c>
      <c r="B308" s="36" t="s">
        <v>3276</v>
      </c>
      <c r="C308" s="37" t="s">
        <v>3264</v>
      </c>
      <c r="D308" s="37" t="s">
        <v>3265</v>
      </c>
      <c r="E308" s="37"/>
      <c r="F308" s="37" t="s">
        <v>3264</v>
      </c>
      <c r="G308" s="37" t="s">
        <v>3265</v>
      </c>
      <c r="H308" s="35"/>
      <c r="J308" s="35"/>
      <c r="K308" s="35"/>
      <c r="L308" s="35"/>
      <c r="M308" s="35"/>
      <c r="N308" s="35"/>
      <c r="O308" s="35"/>
      <c r="P308" s="35"/>
      <c r="Q308" s="35"/>
    </row>
    <row r="309" spans="1:17">
      <c r="A309" s="36" t="s">
        <v>1160</v>
      </c>
      <c r="B309" s="36" t="s">
        <v>3277</v>
      </c>
      <c r="C309" s="37" t="s">
        <v>3264</v>
      </c>
      <c r="D309" s="37" t="s">
        <v>3265</v>
      </c>
      <c r="E309" s="37"/>
      <c r="F309" s="37" t="s">
        <v>3264</v>
      </c>
      <c r="G309" s="37" t="s">
        <v>3265</v>
      </c>
      <c r="H309" s="35"/>
      <c r="J309" s="35"/>
      <c r="K309" s="35"/>
      <c r="L309" s="35"/>
      <c r="M309" s="35"/>
      <c r="N309" s="35"/>
      <c r="O309" s="35"/>
      <c r="P309" s="35"/>
      <c r="Q309" s="35"/>
    </row>
    <row r="310" spans="1:17">
      <c r="A310" s="36" t="s">
        <v>3278</v>
      </c>
      <c r="B310" s="36" t="s">
        <v>3279</v>
      </c>
      <c r="C310" s="37"/>
      <c r="D310" s="37"/>
      <c r="E310" s="37"/>
      <c r="F310" s="37"/>
      <c r="G310" s="37"/>
      <c r="H310" s="35"/>
      <c r="J310" s="35"/>
      <c r="K310" s="35"/>
      <c r="L310" s="35"/>
      <c r="M310" s="35"/>
      <c r="N310" s="35"/>
      <c r="O310" s="35"/>
      <c r="P310" s="35"/>
      <c r="Q310" s="35"/>
    </row>
    <row r="311" spans="1:17">
      <c r="A311" s="36" t="s">
        <v>1162</v>
      </c>
      <c r="B311" s="36" t="s">
        <v>3280</v>
      </c>
      <c r="C311" s="37" t="s">
        <v>2718</v>
      </c>
      <c r="D311" s="37" t="s">
        <v>2717</v>
      </c>
      <c r="E311" s="37"/>
      <c r="F311" s="37" t="s">
        <v>2718</v>
      </c>
      <c r="G311" s="37" t="s">
        <v>2717</v>
      </c>
      <c r="H311" s="35"/>
      <c r="J311" s="35"/>
      <c r="K311" s="35"/>
      <c r="L311" s="35"/>
      <c r="M311" s="35"/>
      <c r="N311" s="35"/>
      <c r="O311" s="35"/>
      <c r="P311" s="35"/>
      <c r="Q311" s="35"/>
    </row>
    <row r="312" spans="1:17">
      <c r="A312" s="36" t="s">
        <v>1164</v>
      </c>
      <c r="B312" s="36" t="s">
        <v>3281</v>
      </c>
      <c r="C312" s="37" t="s">
        <v>2718</v>
      </c>
      <c r="D312" s="37" t="s">
        <v>2717</v>
      </c>
      <c r="E312" s="37"/>
      <c r="F312" s="37" t="s">
        <v>2718</v>
      </c>
      <c r="G312" s="37" t="s">
        <v>2717</v>
      </c>
      <c r="H312" s="35"/>
      <c r="J312" s="35"/>
      <c r="K312" s="35"/>
      <c r="L312" s="35"/>
      <c r="M312" s="35"/>
      <c r="N312" s="35"/>
      <c r="O312" s="35"/>
      <c r="P312" s="35"/>
      <c r="Q312" s="35"/>
    </row>
    <row r="313" spans="1:17">
      <c r="A313" s="36" t="s">
        <v>1166</v>
      </c>
      <c r="B313" s="36" t="s">
        <v>3282</v>
      </c>
      <c r="C313" s="37" t="s">
        <v>2718</v>
      </c>
      <c r="D313" s="37" t="s">
        <v>2717</v>
      </c>
      <c r="E313" s="37"/>
      <c r="F313" s="37" t="s">
        <v>2718</v>
      </c>
      <c r="G313" s="37" t="s">
        <v>2717</v>
      </c>
      <c r="H313" s="35"/>
      <c r="J313" s="35"/>
      <c r="K313" s="35"/>
      <c r="L313" s="35"/>
      <c r="M313" s="35"/>
      <c r="N313" s="35"/>
      <c r="O313" s="35"/>
      <c r="P313" s="35"/>
      <c r="Q313" s="35"/>
    </row>
    <row r="314" spans="1:17">
      <c r="A314" s="36" t="s">
        <v>1168</v>
      </c>
      <c r="B314" s="36" t="s">
        <v>3283</v>
      </c>
      <c r="C314" s="37" t="s">
        <v>2718</v>
      </c>
      <c r="D314" s="37" t="s">
        <v>2717</v>
      </c>
      <c r="E314" s="37"/>
      <c r="F314" s="37" t="s">
        <v>2718</v>
      </c>
      <c r="G314" s="37" t="s">
        <v>2717</v>
      </c>
      <c r="H314" s="35"/>
      <c r="J314" s="35"/>
      <c r="K314" s="35"/>
      <c r="L314" s="35"/>
      <c r="M314" s="35"/>
      <c r="N314" s="35"/>
      <c r="O314" s="35"/>
      <c r="P314" s="35"/>
      <c r="Q314" s="35"/>
    </row>
    <row r="315" spans="1:17">
      <c r="A315" s="36" t="s">
        <v>1170</v>
      </c>
      <c r="B315" s="36" t="s">
        <v>3284</v>
      </c>
      <c r="C315" s="37" t="s">
        <v>2718</v>
      </c>
      <c r="D315" s="37" t="s">
        <v>2717</v>
      </c>
      <c r="E315" s="37"/>
      <c r="F315" s="37" t="s">
        <v>2718</v>
      </c>
      <c r="G315" s="37" t="s">
        <v>2717</v>
      </c>
      <c r="H315" s="35"/>
      <c r="J315" s="35"/>
      <c r="K315" s="35"/>
      <c r="L315" s="35"/>
      <c r="M315" s="35"/>
      <c r="N315" s="35"/>
      <c r="O315" s="35"/>
      <c r="P315" s="35"/>
      <c r="Q315" s="35"/>
    </row>
    <row r="316" spans="1:17">
      <c r="A316" s="36" t="s">
        <v>1172</v>
      </c>
      <c r="B316" s="36" t="s">
        <v>3285</v>
      </c>
      <c r="C316" s="37" t="s">
        <v>2718</v>
      </c>
      <c r="D316" s="37" t="s">
        <v>2717</v>
      </c>
      <c r="E316" s="37"/>
      <c r="F316" s="37" t="s">
        <v>2718</v>
      </c>
      <c r="G316" s="37" t="s">
        <v>2717</v>
      </c>
      <c r="H316" s="35"/>
      <c r="J316" s="35"/>
      <c r="K316" s="35"/>
      <c r="L316" s="35"/>
      <c r="M316" s="35"/>
      <c r="N316" s="35"/>
      <c r="O316" s="35"/>
      <c r="P316" s="35"/>
      <c r="Q316" s="35"/>
    </row>
    <row r="317" spans="1:17">
      <c r="A317" s="36" t="s">
        <v>1174</v>
      </c>
      <c r="B317" s="36" t="s">
        <v>3286</v>
      </c>
      <c r="C317" s="37" t="s">
        <v>2718</v>
      </c>
      <c r="D317" s="37" t="s">
        <v>2717</v>
      </c>
      <c r="E317" s="37"/>
      <c r="F317" s="37" t="s">
        <v>2718</v>
      </c>
      <c r="G317" s="37" t="s">
        <v>2717</v>
      </c>
      <c r="H317" s="35"/>
      <c r="J317" s="35"/>
      <c r="K317" s="35"/>
      <c r="L317" s="35"/>
      <c r="M317" s="35"/>
      <c r="N317" s="35"/>
      <c r="O317" s="35"/>
      <c r="P317" s="35"/>
      <c r="Q317" s="35"/>
    </row>
    <row r="318" spans="1:17">
      <c r="A318" s="36" t="s">
        <v>1176</v>
      </c>
      <c r="B318" s="36" t="s">
        <v>3287</v>
      </c>
      <c r="C318" s="37" t="s">
        <v>2718</v>
      </c>
      <c r="D318" s="37" t="s">
        <v>2717</v>
      </c>
      <c r="E318" s="37"/>
      <c r="F318" s="37" t="s">
        <v>2718</v>
      </c>
      <c r="G318" s="37" t="s">
        <v>2717</v>
      </c>
      <c r="H318" s="35"/>
      <c r="J318" s="35"/>
      <c r="K318" s="35"/>
      <c r="L318" s="35"/>
      <c r="M318" s="35"/>
      <c r="N318" s="35"/>
      <c r="O318" s="35"/>
      <c r="P318" s="35"/>
      <c r="Q318" s="35"/>
    </row>
    <row r="319" spans="1:17">
      <c r="A319" s="36" t="s">
        <v>1178</v>
      </c>
      <c r="B319" s="36" t="s">
        <v>3288</v>
      </c>
      <c r="C319" s="37" t="s">
        <v>2718</v>
      </c>
      <c r="D319" s="37" t="s">
        <v>2717</v>
      </c>
      <c r="E319" s="37"/>
      <c r="F319" s="37" t="s">
        <v>2718</v>
      </c>
      <c r="G319" s="37" t="s">
        <v>2717</v>
      </c>
      <c r="H319" s="35"/>
      <c r="J319" s="35"/>
      <c r="K319" s="35"/>
      <c r="L319" s="35"/>
      <c r="M319" s="35"/>
      <c r="N319" s="35"/>
      <c r="O319" s="35"/>
      <c r="P319" s="35"/>
      <c r="Q319" s="35"/>
    </row>
    <row r="320" spans="1:17">
      <c r="A320" s="36" t="s">
        <v>1180</v>
      </c>
      <c r="B320" s="36" t="s">
        <v>3289</v>
      </c>
      <c r="C320" s="37" t="s">
        <v>2653</v>
      </c>
      <c r="D320" s="37" t="s">
        <v>2652</v>
      </c>
      <c r="E320" s="37"/>
      <c r="F320" s="37" t="s">
        <v>2653</v>
      </c>
      <c r="G320" s="37" t="s">
        <v>2652</v>
      </c>
      <c r="H320" s="35"/>
      <c r="J320" s="35"/>
      <c r="K320" s="35"/>
      <c r="L320" s="35"/>
      <c r="M320" s="35"/>
      <c r="N320" s="35"/>
      <c r="O320" s="35"/>
      <c r="P320" s="35"/>
      <c r="Q320" s="35"/>
    </row>
    <row r="321" spans="1:17">
      <c r="A321" s="36" t="s">
        <v>1182</v>
      </c>
      <c r="B321" s="36" t="s">
        <v>3290</v>
      </c>
      <c r="C321" s="37" t="s">
        <v>2653</v>
      </c>
      <c r="D321" s="37" t="s">
        <v>2652</v>
      </c>
      <c r="E321" s="37"/>
      <c r="F321" s="37" t="s">
        <v>2653</v>
      </c>
      <c r="G321" s="37" t="s">
        <v>2652</v>
      </c>
      <c r="H321" s="35"/>
      <c r="J321" s="35"/>
      <c r="K321" s="35"/>
      <c r="L321" s="35"/>
      <c r="M321" s="35"/>
      <c r="N321" s="35"/>
      <c r="O321" s="35"/>
      <c r="P321" s="35"/>
      <c r="Q321" s="35"/>
    </row>
    <row r="322" spans="1:17">
      <c r="A322" s="36" t="s">
        <v>1184</v>
      </c>
      <c r="B322" s="36" t="s">
        <v>3291</v>
      </c>
      <c r="C322" s="37" t="s">
        <v>2653</v>
      </c>
      <c r="D322" s="37" t="s">
        <v>2652</v>
      </c>
      <c r="E322" s="37"/>
      <c r="F322" s="37" t="s">
        <v>2653</v>
      </c>
      <c r="G322" s="37" t="s">
        <v>2652</v>
      </c>
      <c r="H322" s="35"/>
      <c r="J322" s="35"/>
      <c r="K322" s="35"/>
      <c r="L322" s="35"/>
      <c r="M322" s="35"/>
      <c r="N322" s="35"/>
      <c r="O322" s="35"/>
      <c r="P322" s="35"/>
      <c r="Q322" s="35"/>
    </row>
    <row r="323" spans="1:17">
      <c r="A323" s="36" t="s">
        <v>1186</v>
      </c>
      <c r="B323" s="36" t="s">
        <v>3292</v>
      </c>
      <c r="C323" s="37" t="s">
        <v>2718</v>
      </c>
      <c r="D323" s="37" t="s">
        <v>2717</v>
      </c>
      <c r="E323" s="37"/>
      <c r="F323" s="37" t="s">
        <v>2718</v>
      </c>
      <c r="G323" s="37" t="s">
        <v>2717</v>
      </c>
      <c r="H323" s="35"/>
      <c r="J323" s="35"/>
      <c r="K323" s="35"/>
      <c r="L323" s="35"/>
      <c r="M323" s="35"/>
      <c r="N323" s="35"/>
      <c r="O323" s="35"/>
      <c r="P323" s="35"/>
      <c r="Q323" s="35"/>
    </row>
    <row r="324" spans="1:17">
      <c r="A324" s="36" t="s">
        <v>1188</v>
      </c>
      <c r="B324" s="36" t="s">
        <v>3293</v>
      </c>
      <c r="C324" s="37" t="s">
        <v>2718</v>
      </c>
      <c r="D324" s="37" t="s">
        <v>2717</v>
      </c>
      <c r="E324" s="37"/>
      <c r="F324" s="37" t="s">
        <v>2718</v>
      </c>
      <c r="G324" s="37" t="s">
        <v>2717</v>
      </c>
      <c r="H324" s="35"/>
      <c r="J324" s="35"/>
      <c r="K324" s="35"/>
      <c r="L324" s="35"/>
      <c r="M324" s="35"/>
      <c r="N324" s="35"/>
      <c r="O324" s="35"/>
      <c r="P324" s="35"/>
      <c r="Q324" s="35"/>
    </row>
    <row r="325" spans="1:17">
      <c r="A325" s="36" t="s">
        <v>1190</v>
      </c>
      <c r="B325" s="36" t="s">
        <v>3294</v>
      </c>
      <c r="C325" s="37" t="s">
        <v>2718</v>
      </c>
      <c r="D325" s="37" t="s">
        <v>2717</v>
      </c>
      <c r="E325" s="37"/>
      <c r="F325" s="37" t="s">
        <v>2718</v>
      </c>
      <c r="G325" s="37" t="s">
        <v>2717</v>
      </c>
      <c r="H325" s="35"/>
      <c r="J325" s="35"/>
      <c r="K325" s="35"/>
      <c r="L325" s="35"/>
      <c r="M325" s="35"/>
      <c r="N325" s="35"/>
      <c r="O325" s="35"/>
      <c r="P325" s="35"/>
      <c r="Q325" s="35"/>
    </row>
    <row r="326" spans="1:17">
      <c r="A326" s="36" t="s">
        <v>1192</v>
      </c>
      <c r="B326" s="36" t="s">
        <v>3295</v>
      </c>
      <c r="C326" s="37" t="s">
        <v>993</v>
      </c>
      <c r="D326" s="37" t="s">
        <v>2896</v>
      </c>
      <c r="E326" s="37"/>
      <c r="F326" s="37" t="s">
        <v>993</v>
      </c>
      <c r="G326" s="37" t="s">
        <v>2896</v>
      </c>
      <c r="H326" s="35"/>
      <c r="J326" s="35"/>
      <c r="K326" s="35"/>
      <c r="L326" s="35"/>
      <c r="M326" s="35"/>
      <c r="N326" s="35"/>
      <c r="O326" s="35"/>
      <c r="P326" s="35"/>
      <c r="Q326" s="35"/>
    </row>
    <row r="327" spans="1:17">
      <c r="A327" s="36" t="s">
        <v>1194</v>
      </c>
      <c r="B327" s="36" t="s">
        <v>3296</v>
      </c>
      <c r="C327" s="37" t="s">
        <v>2718</v>
      </c>
      <c r="D327" s="37" t="s">
        <v>2717</v>
      </c>
      <c r="E327" s="37"/>
      <c r="F327" s="37" t="s">
        <v>2718</v>
      </c>
      <c r="G327" s="37" t="s">
        <v>2717</v>
      </c>
      <c r="H327" s="35"/>
      <c r="J327" s="35"/>
      <c r="K327" s="35"/>
      <c r="L327" s="35"/>
      <c r="M327" s="35"/>
      <c r="N327" s="35"/>
      <c r="O327" s="35"/>
      <c r="P327" s="35"/>
      <c r="Q327" s="35"/>
    </row>
    <row r="328" spans="1:17">
      <c r="A328" s="36" t="s">
        <v>1196</v>
      </c>
      <c r="B328" s="36" t="s">
        <v>3297</v>
      </c>
      <c r="C328" s="37" t="s">
        <v>2718</v>
      </c>
      <c r="D328" s="37" t="s">
        <v>2717</v>
      </c>
      <c r="E328" s="37"/>
      <c r="F328" s="37" t="s">
        <v>2718</v>
      </c>
      <c r="G328" s="37" t="s">
        <v>2717</v>
      </c>
      <c r="H328" s="35"/>
      <c r="J328" s="35"/>
      <c r="K328" s="35"/>
      <c r="L328" s="35"/>
      <c r="M328" s="35"/>
      <c r="N328" s="35"/>
      <c r="O328" s="35"/>
      <c r="P328" s="35"/>
      <c r="Q328" s="35"/>
    </row>
    <row r="329" spans="1:17">
      <c r="A329" s="36" t="s">
        <v>1198</v>
      </c>
      <c r="B329" s="36" t="s">
        <v>3298</v>
      </c>
      <c r="C329" s="37" t="s">
        <v>2718</v>
      </c>
      <c r="D329" s="37" t="s">
        <v>2717</v>
      </c>
      <c r="E329" s="37"/>
      <c r="F329" s="37" t="s">
        <v>2718</v>
      </c>
      <c r="G329" s="37" t="s">
        <v>2717</v>
      </c>
      <c r="H329" s="35"/>
      <c r="J329" s="35"/>
      <c r="K329" s="35"/>
      <c r="L329" s="35"/>
      <c r="M329" s="35"/>
      <c r="N329" s="35"/>
      <c r="O329" s="35"/>
      <c r="P329" s="35"/>
      <c r="Q329" s="35"/>
    </row>
    <row r="330" spans="1:17">
      <c r="A330" s="36" t="s">
        <v>1200</v>
      </c>
      <c r="B330" s="36" t="s">
        <v>3299</v>
      </c>
      <c r="C330" s="37" t="s">
        <v>2718</v>
      </c>
      <c r="D330" s="37" t="s">
        <v>2717</v>
      </c>
      <c r="E330" s="37"/>
      <c r="F330" s="37" t="s">
        <v>2718</v>
      </c>
      <c r="G330" s="37" t="s">
        <v>2717</v>
      </c>
      <c r="H330" s="35"/>
      <c r="J330" s="35"/>
      <c r="K330" s="35"/>
      <c r="L330" s="35"/>
      <c r="M330" s="35"/>
      <c r="N330" s="35"/>
      <c r="O330" s="35"/>
      <c r="P330" s="35"/>
      <c r="Q330" s="35"/>
    </row>
    <row r="331" spans="1:17">
      <c r="A331" s="36" t="s">
        <v>1202</v>
      </c>
      <c r="B331" s="36" t="s">
        <v>3300</v>
      </c>
      <c r="C331" s="37" t="s">
        <v>2718</v>
      </c>
      <c r="D331" s="37" t="s">
        <v>2717</v>
      </c>
      <c r="E331" s="37"/>
      <c r="F331" s="37" t="s">
        <v>2718</v>
      </c>
      <c r="G331" s="37" t="s">
        <v>2717</v>
      </c>
      <c r="H331" s="35"/>
      <c r="J331" s="35"/>
      <c r="K331" s="35"/>
      <c r="L331" s="35"/>
      <c r="M331" s="35"/>
      <c r="N331" s="35"/>
      <c r="O331" s="35"/>
      <c r="P331" s="35"/>
      <c r="Q331" s="35"/>
    </row>
    <row r="332" spans="1:17">
      <c r="A332" s="36" t="s">
        <v>1204</v>
      </c>
      <c r="B332" s="36" t="s">
        <v>3301</v>
      </c>
      <c r="C332" s="37" t="s">
        <v>2718</v>
      </c>
      <c r="D332" s="37" t="s">
        <v>2717</v>
      </c>
      <c r="E332" s="37"/>
      <c r="F332" s="37" t="s">
        <v>2718</v>
      </c>
      <c r="G332" s="37" t="s">
        <v>2717</v>
      </c>
      <c r="H332" s="35"/>
      <c r="J332" s="35"/>
      <c r="K332" s="35"/>
      <c r="L332" s="35"/>
      <c r="M332" s="35"/>
      <c r="N332" s="35"/>
      <c r="O332" s="35"/>
      <c r="P332" s="35"/>
      <c r="Q332" s="35"/>
    </row>
    <row r="333" spans="1:17">
      <c r="A333" s="36" t="s">
        <v>1206</v>
      </c>
      <c r="B333" s="36" t="s">
        <v>3302</v>
      </c>
      <c r="C333" s="37" t="s">
        <v>2718</v>
      </c>
      <c r="D333" s="37" t="s">
        <v>2717</v>
      </c>
      <c r="E333" s="37"/>
      <c r="F333" s="37" t="s">
        <v>2718</v>
      </c>
      <c r="G333" s="37" t="s">
        <v>2717</v>
      </c>
      <c r="H333" s="35"/>
      <c r="J333" s="35"/>
      <c r="K333" s="35"/>
      <c r="L333" s="35"/>
      <c r="M333" s="35"/>
      <c r="N333" s="35"/>
      <c r="O333" s="35"/>
      <c r="P333" s="35"/>
      <c r="Q333" s="35"/>
    </row>
    <row r="334" spans="1:17">
      <c r="A334" s="36" t="s">
        <v>1208</v>
      </c>
      <c r="B334" s="36" t="s">
        <v>3303</v>
      </c>
      <c r="C334" s="37" t="s">
        <v>2718</v>
      </c>
      <c r="D334" s="37" t="s">
        <v>2717</v>
      </c>
      <c r="E334" s="37"/>
      <c r="F334" s="37" t="s">
        <v>2718</v>
      </c>
      <c r="G334" s="37" t="s">
        <v>2717</v>
      </c>
      <c r="H334" s="35"/>
      <c r="J334" s="35"/>
      <c r="K334" s="35"/>
      <c r="L334" s="35"/>
      <c r="M334" s="35"/>
      <c r="N334" s="35"/>
      <c r="O334" s="35"/>
      <c r="P334" s="35"/>
      <c r="Q334" s="35"/>
    </row>
    <row r="335" spans="1:17">
      <c r="A335" s="36" t="s">
        <v>1210</v>
      </c>
      <c r="B335" s="36" t="s">
        <v>3304</v>
      </c>
      <c r="C335" s="37" t="s">
        <v>2718</v>
      </c>
      <c r="D335" s="37" t="s">
        <v>2717</v>
      </c>
      <c r="E335" s="37"/>
      <c r="F335" s="37" t="s">
        <v>2718</v>
      </c>
      <c r="G335" s="37" t="s">
        <v>2717</v>
      </c>
      <c r="H335" s="35"/>
      <c r="J335" s="35"/>
      <c r="K335" s="35"/>
      <c r="L335" s="35"/>
      <c r="M335" s="35"/>
      <c r="N335" s="35"/>
      <c r="O335" s="35"/>
      <c r="P335" s="35"/>
      <c r="Q335" s="35"/>
    </row>
    <row r="336" spans="1:17">
      <c r="A336" s="36" t="s">
        <v>1212</v>
      </c>
      <c r="B336" s="36" t="s">
        <v>3305</v>
      </c>
      <c r="C336" s="37" t="s">
        <v>2612</v>
      </c>
      <c r="D336" s="37" t="s">
        <v>2611</v>
      </c>
      <c r="E336" s="37"/>
      <c r="F336" s="37" t="s">
        <v>4787</v>
      </c>
      <c r="G336" s="37" t="s">
        <v>4786</v>
      </c>
      <c r="H336" s="35"/>
      <c r="J336" s="35"/>
      <c r="K336" s="35"/>
      <c r="L336" s="35"/>
      <c r="M336" s="35"/>
      <c r="N336" s="35"/>
      <c r="O336" s="35"/>
      <c r="P336" s="35"/>
      <c r="Q336" s="35"/>
    </row>
    <row r="337" spans="1:17">
      <c r="A337" s="36" t="s">
        <v>1214</v>
      </c>
      <c r="B337" s="36" t="s">
        <v>3306</v>
      </c>
      <c r="C337" s="37" t="s">
        <v>2718</v>
      </c>
      <c r="D337" s="37" t="s">
        <v>2717</v>
      </c>
      <c r="E337" s="37"/>
      <c r="F337" s="37" t="s">
        <v>2718</v>
      </c>
      <c r="G337" s="37" t="s">
        <v>2717</v>
      </c>
      <c r="H337" s="35"/>
      <c r="J337" s="35"/>
      <c r="K337" s="35"/>
      <c r="L337" s="35"/>
      <c r="M337" s="35"/>
      <c r="N337" s="35"/>
      <c r="O337" s="35"/>
      <c r="P337" s="35"/>
      <c r="Q337" s="35"/>
    </row>
    <row r="338" spans="1:17">
      <c r="A338" s="36" t="s">
        <v>1216</v>
      </c>
      <c r="B338" s="36" t="s">
        <v>3307</v>
      </c>
      <c r="C338" s="37" t="s">
        <v>2718</v>
      </c>
      <c r="D338" s="37" t="s">
        <v>2717</v>
      </c>
      <c r="E338" s="37"/>
      <c r="F338" s="37" t="s">
        <v>2718</v>
      </c>
      <c r="G338" s="37" t="s">
        <v>2717</v>
      </c>
      <c r="H338" s="35"/>
      <c r="J338" s="35"/>
      <c r="K338" s="35"/>
      <c r="L338" s="35"/>
      <c r="M338" s="35"/>
      <c r="N338" s="35"/>
      <c r="O338" s="35"/>
      <c r="P338" s="35"/>
      <c r="Q338" s="35"/>
    </row>
    <row r="339" spans="1:17">
      <c r="A339" s="36" t="s">
        <v>1218</v>
      </c>
      <c r="B339" s="36" t="s">
        <v>3308</v>
      </c>
      <c r="C339" s="37" t="s">
        <v>2718</v>
      </c>
      <c r="D339" s="37" t="s">
        <v>2717</v>
      </c>
      <c r="E339" s="37"/>
      <c r="F339" s="37" t="s">
        <v>2718</v>
      </c>
      <c r="G339" s="37" t="s">
        <v>2717</v>
      </c>
      <c r="H339" s="35"/>
      <c r="J339" s="35"/>
      <c r="K339" s="35"/>
      <c r="L339" s="35"/>
      <c r="M339" s="35"/>
      <c r="N339" s="35"/>
      <c r="O339" s="35"/>
      <c r="P339" s="35"/>
      <c r="Q339" s="35"/>
    </row>
    <row r="340" spans="1:17">
      <c r="A340" s="36" t="s">
        <v>3309</v>
      </c>
      <c r="B340" s="36" t="s">
        <v>3310</v>
      </c>
      <c r="C340" s="37"/>
      <c r="D340" s="37"/>
      <c r="E340" s="37"/>
      <c r="F340" s="37"/>
      <c r="G340" s="37"/>
      <c r="H340" s="35"/>
      <c r="J340" s="35"/>
      <c r="K340" s="35"/>
      <c r="L340" s="35"/>
      <c r="M340" s="35"/>
      <c r="N340" s="35"/>
      <c r="O340" s="35"/>
      <c r="P340" s="35"/>
      <c r="Q340" s="35"/>
    </row>
    <row r="341" spans="1:17">
      <c r="A341" s="36" t="s">
        <v>1220</v>
      </c>
      <c r="B341" s="36" t="s">
        <v>3311</v>
      </c>
      <c r="C341" s="37" t="s">
        <v>2612</v>
      </c>
      <c r="D341" s="37" t="s">
        <v>2611</v>
      </c>
      <c r="E341" s="37"/>
      <c r="F341" s="37" t="s">
        <v>4787</v>
      </c>
      <c r="G341" s="37" t="s">
        <v>4786</v>
      </c>
      <c r="H341" s="35"/>
      <c r="J341" s="35"/>
      <c r="K341" s="35"/>
      <c r="L341" s="35"/>
      <c r="M341" s="35"/>
      <c r="N341" s="35"/>
      <c r="O341" s="35"/>
      <c r="P341" s="35"/>
      <c r="Q341" s="35"/>
    </row>
    <row r="342" spans="1:17">
      <c r="A342" s="36" t="s">
        <v>1222</v>
      </c>
      <c r="B342" s="36" t="s">
        <v>3312</v>
      </c>
      <c r="C342" s="37" t="s">
        <v>2612</v>
      </c>
      <c r="D342" s="37" t="s">
        <v>2611</v>
      </c>
      <c r="E342" s="37"/>
      <c r="F342" s="37" t="s">
        <v>4787</v>
      </c>
      <c r="G342" s="37" t="s">
        <v>4786</v>
      </c>
      <c r="H342" s="35"/>
      <c r="J342" s="35"/>
      <c r="K342" s="35"/>
      <c r="L342" s="35"/>
      <c r="M342" s="35"/>
      <c r="N342" s="35"/>
      <c r="O342" s="35"/>
      <c r="P342" s="35"/>
      <c r="Q342" s="35"/>
    </row>
    <row r="343" spans="1:17">
      <c r="A343" s="36" t="s">
        <v>1224</v>
      </c>
      <c r="B343" s="36" t="s">
        <v>3313</v>
      </c>
      <c r="C343" s="37" t="s">
        <v>2612</v>
      </c>
      <c r="D343" s="37" t="s">
        <v>2611</v>
      </c>
      <c r="E343" s="37"/>
      <c r="F343" s="37" t="s">
        <v>4787</v>
      </c>
      <c r="G343" s="37" t="s">
        <v>4786</v>
      </c>
      <c r="H343" s="35"/>
      <c r="J343" s="35"/>
      <c r="K343" s="35"/>
      <c r="L343" s="35"/>
      <c r="M343" s="35"/>
      <c r="N343" s="35"/>
      <c r="O343" s="35"/>
      <c r="P343" s="35"/>
      <c r="Q343" s="35"/>
    </row>
    <row r="344" spans="1:17">
      <c r="A344" s="36" t="s">
        <v>1226</v>
      </c>
      <c r="B344" s="36" t="s">
        <v>3314</v>
      </c>
      <c r="C344" s="37" t="s">
        <v>2612</v>
      </c>
      <c r="D344" s="37" t="s">
        <v>2611</v>
      </c>
      <c r="E344" s="37"/>
      <c r="F344" s="37" t="s">
        <v>4787</v>
      </c>
      <c r="G344" s="37" t="s">
        <v>4786</v>
      </c>
      <c r="H344" s="35"/>
      <c r="J344" s="35"/>
      <c r="K344" s="35"/>
      <c r="L344" s="35"/>
      <c r="M344" s="35"/>
      <c r="N344" s="35"/>
      <c r="O344" s="35"/>
      <c r="P344" s="35"/>
      <c r="Q344" s="35"/>
    </row>
    <row r="345" spans="1:17">
      <c r="A345" s="36" t="s">
        <v>1228</v>
      </c>
      <c r="B345" s="36" t="s">
        <v>3315</v>
      </c>
      <c r="C345" s="37" t="s">
        <v>2612</v>
      </c>
      <c r="D345" s="37" t="s">
        <v>2611</v>
      </c>
      <c r="E345" s="37"/>
      <c r="F345" s="37" t="s">
        <v>4787</v>
      </c>
      <c r="G345" s="37" t="s">
        <v>4786</v>
      </c>
      <c r="H345" s="35"/>
      <c r="J345" s="35"/>
      <c r="K345" s="35"/>
      <c r="L345" s="35"/>
      <c r="M345" s="35"/>
      <c r="N345" s="35"/>
      <c r="O345" s="35"/>
      <c r="P345" s="35"/>
      <c r="Q345" s="35"/>
    </row>
    <row r="346" spans="1:17">
      <c r="A346" s="36" t="s">
        <v>3316</v>
      </c>
      <c r="B346" s="36" t="s">
        <v>3317</v>
      </c>
      <c r="C346" s="37"/>
      <c r="D346" s="37"/>
      <c r="E346" s="37"/>
      <c r="F346" s="37"/>
      <c r="G346" s="37"/>
      <c r="H346" s="35"/>
      <c r="J346" s="35"/>
      <c r="K346" s="35"/>
      <c r="L346" s="35"/>
      <c r="M346" s="35"/>
      <c r="N346" s="35"/>
      <c r="O346" s="35"/>
      <c r="P346" s="35"/>
      <c r="Q346" s="35"/>
    </row>
    <row r="347" spans="1:17">
      <c r="A347" s="36" t="s">
        <v>3318</v>
      </c>
      <c r="B347" s="36" t="s">
        <v>3319</v>
      </c>
      <c r="C347" s="37"/>
      <c r="D347" s="37"/>
      <c r="E347" s="37"/>
      <c r="F347" s="37"/>
      <c r="G347" s="37"/>
      <c r="H347" s="35"/>
      <c r="J347" s="35"/>
      <c r="K347" s="35"/>
      <c r="L347" s="35"/>
      <c r="M347" s="35"/>
      <c r="N347" s="35"/>
      <c r="O347" s="35"/>
      <c r="P347" s="35"/>
      <c r="Q347" s="35"/>
    </row>
    <row r="348" spans="1:17">
      <c r="A348" s="36" t="s">
        <v>1230</v>
      </c>
      <c r="B348" s="36" t="s">
        <v>3320</v>
      </c>
      <c r="C348" s="37" t="s">
        <v>3321</v>
      </c>
      <c r="D348" s="37" t="s">
        <v>3322</v>
      </c>
      <c r="E348" s="37"/>
      <c r="F348" s="37" t="s">
        <v>3321</v>
      </c>
      <c r="G348" s="37" t="s">
        <v>3322</v>
      </c>
      <c r="H348" s="35"/>
      <c r="J348" s="35"/>
      <c r="K348" s="35"/>
      <c r="L348" s="35"/>
      <c r="M348" s="35"/>
      <c r="N348" s="35"/>
      <c r="O348" s="35"/>
      <c r="P348" s="35"/>
      <c r="Q348" s="35"/>
    </row>
    <row r="349" spans="1:17">
      <c r="A349" s="36" t="s">
        <v>1232</v>
      </c>
      <c r="B349" s="36" t="s">
        <v>3323</v>
      </c>
      <c r="C349" s="37" t="s">
        <v>3321</v>
      </c>
      <c r="D349" s="37" t="s">
        <v>3322</v>
      </c>
      <c r="E349" s="37"/>
      <c r="F349" s="37" t="s">
        <v>3321</v>
      </c>
      <c r="G349" s="37" t="s">
        <v>3322</v>
      </c>
      <c r="H349" s="35"/>
      <c r="J349" s="35"/>
      <c r="K349" s="35"/>
      <c r="L349" s="35"/>
      <c r="M349" s="35"/>
      <c r="N349" s="35"/>
      <c r="O349" s="35"/>
      <c r="P349" s="35"/>
      <c r="Q349" s="35"/>
    </row>
    <row r="350" spans="1:17">
      <c r="A350" s="36" t="s">
        <v>1234</v>
      </c>
      <c r="B350" s="36" t="s">
        <v>3324</v>
      </c>
      <c r="C350" s="37" t="s">
        <v>3321</v>
      </c>
      <c r="D350" s="37" t="s">
        <v>3322</v>
      </c>
      <c r="E350" s="37"/>
      <c r="F350" s="37" t="s">
        <v>3321</v>
      </c>
      <c r="G350" s="37" t="s">
        <v>3322</v>
      </c>
      <c r="H350" s="35"/>
      <c r="J350" s="35"/>
      <c r="K350" s="35"/>
      <c r="L350" s="35"/>
      <c r="M350" s="35"/>
      <c r="N350" s="35"/>
      <c r="O350" s="35"/>
      <c r="P350" s="35"/>
      <c r="Q350" s="35"/>
    </row>
    <row r="351" spans="1:17">
      <c r="A351" s="36" t="s">
        <v>1236</v>
      </c>
      <c r="B351" s="36" t="s">
        <v>3325</v>
      </c>
      <c r="C351" s="37" t="s">
        <v>3321</v>
      </c>
      <c r="D351" s="37" t="s">
        <v>3322</v>
      </c>
      <c r="E351" s="37"/>
      <c r="F351" s="37" t="s">
        <v>3321</v>
      </c>
      <c r="G351" s="37" t="s">
        <v>3322</v>
      </c>
      <c r="H351" s="35"/>
      <c r="J351" s="35"/>
      <c r="K351" s="35"/>
      <c r="L351" s="35"/>
      <c r="M351" s="35"/>
      <c r="N351" s="35"/>
      <c r="O351" s="35"/>
      <c r="P351" s="35"/>
      <c r="Q351" s="35"/>
    </row>
    <row r="352" spans="1:17">
      <c r="A352" s="36" t="s">
        <v>1238</v>
      </c>
      <c r="B352" s="36" t="s">
        <v>3326</v>
      </c>
      <c r="C352" s="37" t="s">
        <v>3321</v>
      </c>
      <c r="D352" s="37" t="s">
        <v>3322</v>
      </c>
      <c r="E352" s="37"/>
      <c r="F352" s="37" t="s">
        <v>3321</v>
      </c>
      <c r="G352" s="37" t="s">
        <v>3322</v>
      </c>
      <c r="H352" s="35"/>
      <c r="J352" s="35"/>
      <c r="K352" s="35"/>
      <c r="L352" s="35"/>
      <c r="M352" s="35"/>
      <c r="N352" s="35"/>
      <c r="O352" s="35"/>
      <c r="P352" s="35"/>
      <c r="Q352" s="35"/>
    </row>
    <row r="353" spans="1:17">
      <c r="A353" s="36" t="s">
        <v>1240</v>
      </c>
      <c r="B353" s="36" t="s">
        <v>3327</v>
      </c>
      <c r="C353" s="37" t="s">
        <v>3321</v>
      </c>
      <c r="D353" s="37" t="s">
        <v>3322</v>
      </c>
      <c r="E353" s="37"/>
      <c r="F353" s="37" t="s">
        <v>3321</v>
      </c>
      <c r="G353" s="37" t="s">
        <v>3322</v>
      </c>
      <c r="H353" s="35"/>
      <c r="J353" s="35"/>
      <c r="K353" s="35"/>
      <c r="L353" s="35"/>
      <c r="M353" s="35"/>
      <c r="N353" s="35"/>
      <c r="O353" s="35"/>
      <c r="P353" s="35"/>
      <c r="Q353" s="35"/>
    </row>
    <row r="354" spans="1:17">
      <c r="A354" s="36" t="s">
        <v>1242</v>
      </c>
      <c r="B354" s="36" t="s">
        <v>3328</v>
      </c>
      <c r="C354" s="37" t="s">
        <v>3248</v>
      </c>
      <c r="D354" s="37" t="s">
        <v>3249</v>
      </c>
      <c r="E354" s="37"/>
      <c r="F354" s="37" t="s">
        <v>3248</v>
      </c>
      <c r="G354" s="37" t="s">
        <v>3249</v>
      </c>
      <c r="H354" s="35"/>
      <c r="J354" s="35"/>
      <c r="K354" s="35"/>
      <c r="L354" s="35"/>
      <c r="M354" s="35"/>
      <c r="N354" s="35"/>
      <c r="O354" s="35"/>
      <c r="P354" s="35"/>
      <c r="Q354" s="35"/>
    </row>
    <row r="355" spans="1:17">
      <c r="A355" s="36" t="s">
        <v>1244</v>
      </c>
      <c r="B355" s="36" t="s">
        <v>3329</v>
      </c>
      <c r="C355" s="37" t="s">
        <v>3248</v>
      </c>
      <c r="D355" s="37" t="s">
        <v>3249</v>
      </c>
      <c r="E355" s="37"/>
      <c r="F355" s="37" t="s">
        <v>3248</v>
      </c>
      <c r="G355" s="37" t="s">
        <v>3249</v>
      </c>
      <c r="H355" s="35"/>
      <c r="J355" s="35"/>
      <c r="K355" s="35"/>
      <c r="L355" s="35"/>
      <c r="M355" s="35"/>
      <c r="N355" s="35"/>
      <c r="O355" s="35"/>
      <c r="P355" s="35"/>
      <c r="Q355" s="35"/>
    </row>
    <row r="356" spans="1:17">
      <c r="A356" s="36" t="s">
        <v>1246</v>
      </c>
      <c r="B356" s="36" t="s">
        <v>3330</v>
      </c>
      <c r="C356" s="37" t="s">
        <v>3248</v>
      </c>
      <c r="D356" s="37" t="s">
        <v>3249</v>
      </c>
      <c r="E356" s="37"/>
      <c r="F356" s="37" t="s">
        <v>3248</v>
      </c>
      <c r="G356" s="37" t="s">
        <v>3249</v>
      </c>
      <c r="H356" s="35"/>
      <c r="J356" s="35"/>
      <c r="K356" s="35"/>
      <c r="L356" s="35"/>
      <c r="M356" s="35"/>
      <c r="N356" s="35"/>
      <c r="O356" s="35"/>
      <c r="P356" s="35"/>
      <c r="Q356" s="35"/>
    </row>
    <row r="357" spans="1:17">
      <c r="A357" s="36" t="s">
        <v>1248</v>
      </c>
      <c r="B357" s="36" t="s">
        <v>3331</v>
      </c>
      <c r="C357" s="37" t="s">
        <v>3248</v>
      </c>
      <c r="D357" s="37" t="s">
        <v>3249</v>
      </c>
      <c r="E357" s="37"/>
      <c r="F357" s="37" t="s">
        <v>3248</v>
      </c>
      <c r="G357" s="37" t="s">
        <v>3249</v>
      </c>
      <c r="H357" s="35"/>
      <c r="J357" s="35"/>
      <c r="K357" s="35"/>
      <c r="L357" s="35"/>
      <c r="M357" s="35"/>
      <c r="N357" s="35"/>
      <c r="O357" s="35"/>
      <c r="P357" s="35"/>
      <c r="Q357" s="35"/>
    </row>
    <row r="358" spans="1:17">
      <c r="A358" s="36" t="s">
        <v>1250</v>
      </c>
      <c r="B358" s="36" t="s">
        <v>3332</v>
      </c>
      <c r="C358" s="37" t="s">
        <v>3248</v>
      </c>
      <c r="D358" s="37" t="s">
        <v>3249</v>
      </c>
      <c r="E358" s="37"/>
      <c r="F358" s="37" t="s">
        <v>3248</v>
      </c>
      <c r="G358" s="37" t="s">
        <v>3249</v>
      </c>
      <c r="H358" s="35"/>
      <c r="J358" s="35"/>
      <c r="K358" s="35"/>
      <c r="L358" s="35"/>
      <c r="M358" s="35"/>
      <c r="N358" s="35"/>
      <c r="O358" s="35"/>
      <c r="P358" s="35"/>
      <c r="Q358" s="35"/>
    </row>
    <row r="359" spans="1:17">
      <c r="A359" s="36" t="s">
        <v>1252</v>
      </c>
      <c r="B359" s="36" t="s">
        <v>3333</v>
      </c>
      <c r="C359" s="37" t="s">
        <v>3248</v>
      </c>
      <c r="D359" s="37" t="s">
        <v>3249</v>
      </c>
      <c r="E359" s="37"/>
      <c r="F359" s="37" t="s">
        <v>3248</v>
      </c>
      <c r="G359" s="37" t="s">
        <v>3249</v>
      </c>
      <c r="H359" s="35"/>
      <c r="J359" s="35"/>
      <c r="K359" s="35"/>
      <c r="L359" s="35"/>
      <c r="M359" s="35"/>
      <c r="N359" s="35"/>
      <c r="O359" s="35"/>
      <c r="P359" s="35"/>
      <c r="Q359" s="35"/>
    </row>
    <row r="360" spans="1:17">
      <c r="A360" s="36" t="s">
        <v>1254</v>
      </c>
      <c r="B360" s="36" t="s">
        <v>3334</v>
      </c>
      <c r="C360" s="37" t="s">
        <v>3248</v>
      </c>
      <c r="D360" s="37" t="s">
        <v>3249</v>
      </c>
      <c r="E360" s="37"/>
      <c r="F360" s="37" t="s">
        <v>3248</v>
      </c>
      <c r="G360" s="37" t="s">
        <v>3249</v>
      </c>
      <c r="H360" s="35"/>
      <c r="J360" s="35"/>
      <c r="K360" s="35"/>
      <c r="L360" s="35"/>
      <c r="M360" s="35"/>
      <c r="N360" s="35"/>
      <c r="O360" s="35"/>
      <c r="P360" s="35"/>
      <c r="Q360" s="35"/>
    </row>
    <row r="361" spans="1:17">
      <c r="A361" s="36" t="s">
        <v>1256</v>
      </c>
      <c r="B361" s="36" t="s">
        <v>3335</v>
      </c>
      <c r="C361" s="37" t="s">
        <v>3248</v>
      </c>
      <c r="D361" s="37" t="s">
        <v>3249</v>
      </c>
      <c r="E361" s="37"/>
      <c r="F361" s="37" t="s">
        <v>3248</v>
      </c>
      <c r="G361" s="37" t="s">
        <v>3249</v>
      </c>
      <c r="H361" s="35"/>
      <c r="J361" s="35"/>
      <c r="K361" s="35"/>
      <c r="L361" s="35"/>
      <c r="M361" s="35"/>
      <c r="N361" s="35"/>
      <c r="O361" s="35"/>
      <c r="P361" s="35"/>
      <c r="Q361" s="35"/>
    </row>
    <row r="362" spans="1:17">
      <c r="A362" s="36" t="s">
        <v>1258</v>
      </c>
      <c r="B362" s="36" t="s">
        <v>3336</v>
      </c>
      <c r="C362" s="37" t="s">
        <v>3248</v>
      </c>
      <c r="D362" s="37" t="s">
        <v>3249</v>
      </c>
      <c r="E362" s="37"/>
      <c r="F362" s="37" t="s">
        <v>3248</v>
      </c>
      <c r="G362" s="37" t="s">
        <v>3249</v>
      </c>
      <c r="H362" s="35"/>
      <c r="J362" s="35"/>
      <c r="K362" s="35"/>
      <c r="L362" s="35"/>
      <c r="M362" s="35"/>
      <c r="N362" s="35"/>
      <c r="O362" s="35"/>
      <c r="P362" s="35"/>
      <c r="Q362" s="35"/>
    </row>
    <row r="363" spans="1:17">
      <c r="A363" s="36" t="s">
        <v>3337</v>
      </c>
      <c r="B363" s="36" t="s">
        <v>3338</v>
      </c>
      <c r="C363" s="37"/>
      <c r="D363" s="37"/>
      <c r="E363" s="37"/>
      <c r="F363" s="37"/>
      <c r="G363" s="37"/>
      <c r="H363" s="35"/>
      <c r="J363" s="35"/>
      <c r="K363" s="35"/>
      <c r="L363" s="35"/>
      <c r="M363" s="35"/>
      <c r="N363" s="35"/>
      <c r="O363" s="35"/>
      <c r="P363" s="35"/>
      <c r="Q363" s="35"/>
    </row>
    <row r="364" spans="1:17">
      <c r="A364" s="36" t="s">
        <v>1260</v>
      </c>
      <c r="B364" s="36" t="s">
        <v>3339</v>
      </c>
      <c r="C364" s="37" t="s">
        <v>3340</v>
      </c>
      <c r="D364" s="37" t="s">
        <v>3341</v>
      </c>
      <c r="E364" s="37"/>
      <c r="F364" s="37" t="s">
        <v>3340</v>
      </c>
      <c r="G364" s="37" t="s">
        <v>3341</v>
      </c>
      <c r="H364" s="35"/>
      <c r="J364" s="35"/>
      <c r="K364" s="35"/>
      <c r="L364" s="35"/>
      <c r="M364" s="35"/>
      <c r="N364" s="35"/>
      <c r="O364" s="35"/>
      <c r="P364" s="35"/>
      <c r="Q364" s="35"/>
    </row>
    <row r="365" spans="1:17">
      <c r="A365" s="36" t="s">
        <v>1262</v>
      </c>
      <c r="B365" s="36" t="s">
        <v>3342</v>
      </c>
      <c r="C365" s="37" t="s">
        <v>3176</v>
      </c>
      <c r="D365" s="37" t="s">
        <v>3177</v>
      </c>
      <c r="E365" s="37"/>
      <c r="F365" s="37" t="s">
        <v>3176</v>
      </c>
      <c r="G365" s="37" t="s">
        <v>3177</v>
      </c>
      <c r="H365" s="35"/>
      <c r="J365" s="35"/>
      <c r="K365" s="35"/>
      <c r="L365" s="35"/>
      <c r="M365" s="35"/>
      <c r="N365" s="35"/>
      <c r="O365" s="35"/>
      <c r="P365" s="35"/>
      <c r="Q365" s="35"/>
    </row>
    <row r="366" spans="1:17">
      <c r="A366" s="36" t="s">
        <v>1264</v>
      </c>
      <c r="B366" s="36" t="s">
        <v>3343</v>
      </c>
      <c r="C366" s="37" t="s">
        <v>3176</v>
      </c>
      <c r="D366" s="37" t="s">
        <v>3177</v>
      </c>
      <c r="E366" s="37"/>
      <c r="F366" s="37" t="s">
        <v>3176</v>
      </c>
      <c r="G366" s="37" t="s">
        <v>3177</v>
      </c>
      <c r="H366" s="35"/>
      <c r="J366" s="35"/>
      <c r="K366" s="35"/>
      <c r="L366" s="35"/>
      <c r="M366" s="35"/>
      <c r="N366" s="35"/>
      <c r="O366" s="35"/>
      <c r="P366" s="35"/>
      <c r="Q366" s="35"/>
    </row>
    <row r="367" spans="1:17">
      <c r="A367" s="36" t="s">
        <v>1266</v>
      </c>
      <c r="B367" s="36" t="s">
        <v>3344</v>
      </c>
      <c r="C367" s="37" t="s">
        <v>3176</v>
      </c>
      <c r="D367" s="37" t="s">
        <v>3177</v>
      </c>
      <c r="E367" s="37"/>
      <c r="F367" s="37" t="s">
        <v>3176</v>
      </c>
      <c r="G367" s="37" t="s">
        <v>3177</v>
      </c>
      <c r="H367" s="35"/>
      <c r="J367" s="35"/>
      <c r="K367" s="35"/>
      <c r="L367" s="35"/>
      <c r="M367" s="35"/>
      <c r="N367" s="35"/>
      <c r="O367" s="35"/>
      <c r="P367" s="35"/>
      <c r="Q367" s="35"/>
    </row>
    <row r="368" spans="1:17">
      <c r="A368" s="36" t="s">
        <v>1268</v>
      </c>
      <c r="B368" s="36" t="s">
        <v>3345</v>
      </c>
      <c r="C368" s="37" t="s">
        <v>3176</v>
      </c>
      <c r="D368" s="37" t="s">
        <v>3177</v>
      </c>
      <c r="E368" s="37"/>
      <c r="F368" s="37" t="s">
        <v>3176</v>
      </c>
      <c r="G368" s="37" t="s">
        <v>3177</v>
      </c>
      <c r="H368" s="35"/>
      <c r="J368" s="35"/>
      <c r="K368" s="35"/>
      <c r="L368" s="35"/>
      <c r="M368" s="35"/>
      <c r="N368" s="35"/>
      <c r="O368" s="35"/>
      <c r="P368" s="35"/>
      <c r="Q368" s="35"/>
    </row>
    <row r="369" spans="1:17">
      <c r="A369" s="36" t="s">
        <v>1270</v>
      </c>
      <c r="B369" s="36" t="s">
        <v>3346</v>
      </c>
      <c r="C369" s="37" t="s">
        <v>3176</v>
      </c>
      <c r="D369" s="37" t="s">
        <v>3177</v>
      </c>
      <c r="E369" s="37"/>
      <c r="F369" s="37" t="s">
        <v>3176</v>
      </c>
      <c r="G369" s="37" t="s">
        <v>3177</v>
      </c>
      <c r="H369" s="35"/>
      <c r="J369" s="35"/>
      <c r="K369" s="35"/>
      <c r="L369" s="35"/>
      <c r="M369" s="35"/>
      <c r="N369" s="35"/>
      <c r="O369" s="35"/>
      <c r="P369" s="35"/>
      <c r="Q369" s="35"/>
    </row>
    <row r="370" spans="1:17">
      <c r="A370" s="36" t="s">
        <v>1272</v>
      </c>
      <c r="B370" s="36" t="s">
        <v>3347</v>
      </c>
      <c r="C370" s="37" t="s">
        <v>3176</v>
      </c>
      <c r="D370" s="37" t="s">
        <v>3177</v>
      </c>
      <c r="E370" s="37"/>
      <c r="F370" s="37" t="s">
        <v>3176</v>
      </c>
      <c r="G370" s="37" t="s">
        <v>3177</v>
      </c>
      <c r="H370" s="35"/>
      <c r="J370" s="35"/>
      <c r="K370" s="35"/>
      <c r="L370" s="35"/>
      <c r="M370" s="35"/>
      <c r="N370" s="35"/>
      <c r="O370" s="35"/>
      <c r="P370" s="35"/>
      <c r="Q370" s="35"/>
    </row>
    <row r="371" spans="1:17">
      <c r="A371" s="36" t="s">
        <v>1274</v>
      </c>
      <c r="B371" s="36" t="s">
        <v>3348</v>
      </c>
      <c r="C371" s="37" t="s">
        <v>3340</v>
      </c>
      <c r="D371" s="37" t="s">
        <v>3341</v>
      </c>
      <c r="E371" s="37"/>
      <c r="F371" s="37" t="s">
        <v>3340</v>
      </c>
      <c r="G371" s="37" t="s">
        <v>3341</v>
      </c>
      <c r="H371" s="35"/>
      <c r="J371" s="35"/>
      <c r="K371" s="35"/>
      <c r="L371" s="35"/>
      <c r="M371" s="35"/>
      <c r="N371" s="35"/>
      <c r="O371" s="35"/>
      <c r="P371" s="35"/>
      <c r="Q371" s="35"/>
    </row>
    <row r="372" spans="1:17">
      <c r="A372" s="36" t="s">
        <v>1276</v>
      </c>
      <c r="B372" s="36" t="s">
        <v>3349</v>
      </c>
      <c r="C372" s="37" t="s">
        <v>3340</v>
      </c>
      <c r="D372" s="37" t="s">
        <v>3341</v>
      </c>
      <c r="E372" s="37"/>
      <c r="F372" s="37" t="s">
        <v>3340</v>
      </c>
      <c r="G372" s="37" t="s">
        <v>3341</v>
      </c>
      <c r="H372" s="35"/>
      <c r="J372" s="35"/>
      <c r="K372" s="35"/>
      <c r="L372" s="35"/>
      <c r="M372" s="35"/>
      <c r="N372" s="35"/>
      <c r="O372" s="35"/>
      <c r="P372" s="35"/>
      <c r="Q372" s="35"/>
    </row>
    <row r="373" spans="1:17">
      <c r="A373" s="36" t="s">
        <v>1278</v>
      </c>
      <c r="B373" s="36" t="s">
        <v>3350</v>
      </c>
      <c r="C373" s="37" t="s">
        <v>3340</v>
      </c>
      <c r="D373" s="37" t="s">
        <v>3341</v>
      </c>
      <c r="E373" s="37"/>
      <c r="F373" s="37" t="s">
        <v>3340</v>
      </c>
      <c r="G373" s="37" t="s">
        <v>3341</v>
      </c>
      <c r="H373" s="35"/>
      <c r="J373" s="35"/>
      <c r="K373" s="35"/>
      <c r="L373" s="35"/>
      <c r="M373" s="35"/>
      <c r="N373" s="35"/>
      <c r="O373" s="35"/>
      <c r="P373" s="35"/>
      <c r="Q373" s="35"/>
    </row>
    <row r="374" spans="1:17">
      <c r="A374" s="36" t="s">
        <v>1280</v>
      </c>
      <c r="B374" s="36" t="s">
        <v>3351</v>
      </c>
      <c r="C374" s="37" t="s">
        <v>3340</v>
      </c>
      <c r="D374" s="37" t="s">
        <v>3341</v>
      </c>
      <c r="E374" s="37"/>
      <c r="F374" s="37" t="s">
        <v>3340</v>
      </c>
      <c r="G374" s="37" t="s">
        <v>3341</v>
      </c>
      <c r="H374" s="35"/>
      <c r="J374" s="35"/>
      <c r="K374" s="35"/>
      <c r="L374" s="35"/>
      <c r="M374" s="35"/>
      <c r="N374" s="35"/>
      <c r="O374" s="35"/>
      <c r="P374" s="35"/>
      <c r="Q374" s="35"/>
    </row>
    <row r="375" spans="1:17">
      <c r="A375" s="36" t="s">
        <v>3352</v>
      </c>
      <c r="B375" s="36" t="s">
        <v>3353</v>
      </c>
      <c r="C375" s="37"/>
      <c r="D375" s="37"/>
      <c r="E375" s="37"/>
      <c r="F375" s="37"/>
      <c r="G375" s="37"/>
      <c r="H375" s="35"/>
      <c r="J375" s="35"/>
      <c r="K375" s="35"/>
      <c r="L375" s="35"/>
      <c r="M375" s="35"/>
      <c r="N375" s="35"/>
      <c r="O375" s="35"/>
      <c r="P375" s="35"/>
      <c r="Q375" s="35"/>
    </row>
    <row r="376" spans="1:17">
      <c r="A376" s="36" t="s">
        <v>1282</v>
      </c>
      <c r="B376" s="36" t="s">
        <v>3354</v>
      </c>
      <c r="C376" s="37" t="s">
        <v>2827</v>
      </c>
      <c r="D376" s="37" t="s">
        <v>2826</v>
      </c>
      <c r="E376" s="37"/>
      <c r="F376" s="37" t="s">
        <v>2827</v>
      </c>
      <c r="G376" s="37" t="s">
        <v>2826</v>
      </c>
      <c r="H376" s="35"/>
      <c r="J376" s="35"/>
      <c r="K376" s="35"/>
      <c r="L376" s="35"/>
      <c r="M376" s="35"/>
      <c r="N376" s="35"/>
      <c r="O376" s="35"/>
      <c r="P376" s="35"/>
      <c r="Q376" s="35"/>
    </row>
    <row r="377" spans="1:17">
      <c r="A377" s="36" t="s">
        <v>1284</v>
      </c>
      <c r="B377" s="36" t="s">
        <v>3355</v>
      </c>
      <c r="C377" s="37" t="s">
        <v>2827</v>
      </c>
      <c r="D377" s="37" t="s">
        <v>2826</v>
      </c>
      <c r="E377" s="37"/>
      <c r="F377" s="37" t="s">
        <v>2827</v>
      </c>
      <c r="G377" s="37" t="s">
        <v>2826</v>
      </c>
      <c r="H377" s="35"/>
      <c r="J377" s="35"/>
      <c r="K377" s="35"/>
      <c r="L377" s="35"/>
      <c r="M377" s="35"/>
      <c r="N377" s="35"/>
      <c r="O377" s="35"/>
      <c r="P377" s="35"/>
      <c r="Q377" s="35"/>
    </row>
    <row r="378" spans="1:17">
      <c r="A378" s="36" t="s">
        <v>1286</v>
      </c>
      <c r="B378" s="36" t="s">
        <v>3356</v>
      </c>
      <c r="C378" s="37" t="s">
        <v>2827</v>
      </c>
      <c r="D378" s="37" t="s">
        <v>2826</v>
      </c>
      <c r="E378" s="37"/>
      <c r="F378" s="37" t="s">
        <v>2827</v>
      </c>
      <c r="G378" s="37" t="s">
        <v>2826</v>
      </c>
      <c r="H378" s="35"/>
      <c r="J378" s="35"/>
      <c r="K378" s="35"/>
      <c r="L378" s="35"/>
      <c r="M378" s="35"/>
      <c r="N378" s="35"/>
      <c r="O378" s="35"/>
      <c r="P378" s="35"/>
      <c r="Q378" s="35"/>
    </row>
    <row r="379" spans="1:17">
      <c r="A379" s="36" t="s">
        <v>1288</v>
      </c>
      <c r="B379" s="36" t="s">
        <v>3357</v>
      </c>
      <c r="C379" s="37" t="s">
        <v>2827</v>
      </c>
      <c r="D379" s="37" t="s">
        <v>2826</v>
      </c>
      <c r="E379" s="37"/>
      <c r="F379" s="37" t="s">
        <v>2827</v>
      </c>
      <c r="G379" s="37" t="s">
        <v>2826</v>
      </c>
      <c r="H379" s="35"/>
      <c r="J379" s="35"/>
      <c r="K379" s="35"/>
      <c r="L379" s="35"/>
      <c r="M379" s="35"/>
      <c r="N379" s="35"/>
      <c r="O379" s="35"/>
      <c r="P379" s="35"/>
      <c r="Q379" s="35"/>
    </row>
    <row r="380" spans="1:17">
      <c r="A380" s="36" t="s">
        <v>1290</v>
      </c>
      <c r="B380" s="36" t="s">
        <v>3358</v>
      </c>
      <c r="C380" s="37" t="s">
        <v>2683</v>
      </c>
      <c r="D380" s="37" t="s">
        <v>2682</v>
      </c>
      <c r="E380" s="37"/>
      <c r="F380" s="37" t="s">
        <v>2683</v>
      </c>
      <c r="G380" s="37" t="s">
        <v>2682</v>
      </c>
      <c r="H380" s="35"/>
      <c r="J380" s="35"/>
      <c r="K380" s="35"/>
      <c r="L380" s="35"/>
      <c r="M380" s="35"/>
      <c r="N380" s="35"/>
      <c r="O380" s="35"/>
      <c r="P380" s="35"/>
      <c r="Q380" s="35"/>
    </row>
    <row r="381" spans="1:17">
      <c r="A381" s="36" t="s">
        <v>1292</v>
      </c>
      <c r="B381" s="36" t="s">
        <v>3359</v>
      </c>
      <c r="C381" s="37" t="s">
        <v>2683</v>
      </c>
      <c r="D381" s="37" t="s">
        <v>2682</v>
      </c>
      <c r="E381" s="37"/>
      <c r="F381" s="37" t="s">
        <v>2683</v>
      </c>
      <c r="G381" s="37" t="s">
        <v>2682</v>
      </c>
      <c r="H381" s="35"/>
      <c r="J381" s="35"/>
      <c r="K381" s="35"/>
      <c r="L381" s="35"/>
      <c r="M381" s="35"/>
      <c r="N381" s="35"/>
      <c r="O381" s="35"/>
      <c r="P381" s="35"/>
      <c r="Q381" s="35"/>
    </row>
    <row r="382" spans="1:17">
      <c r="A382" s="36" t="s">
        <v>1294</v>
      </c>
      <c r="B382" s="36" t="s">
        <v>3360</v>
      </c>
      <c r="C382" s="37" t="s">
        <v>2683</v>
      </c>
      <c r="D382" s="37" t="s">
        <v>2682</v>
      </c>
      <c r="E382" s="37"/>
      <c r="F382" s="37" t="s">
        <v>2683</v>
      </c>
      <c r="G382" s="37" t="s">
        <v>2682</v>
      </c>
      <c r="H382" s="35"/>
      <c r="J382" s="35"/>
      <c r="K382" s="35"/>
      <c r="L382" s="35"/>
      <c r="M382" s="35"/>
      <c r="N382" s="35"/>
      <c r="O382" s="35"/>
      <c r="P382" s="35"/>
      <c r="Q382" s="35"/>
    </row>
    <row r="383" spans="1:17">
      <c r="A383" s="36" t="s">
        <v>1296</v>
      </c>
      <c r="B383" s="36" t="s">
        <v>3361</v>
      </c>
      <c r="C383" s="37" t="s">
        <v>2683</v>
      </c>
      <c r="D383" s="37" t="s">
        <v>2682</v>
      </c>
      <c r="E383" s="37"/>
      <c r="F383" s="37" t="s">
        <v>2683</v>
      </c>
      <c r="G383" s="37" t="s">
        <v>2682</v>
      </c>
      <c r="H383" s="35"/>
      <c r="J383" s="35"/>
      <c r="K383" s="35"/>
      <c r="L383" s="35"/>
      <c r="M383" s="35"/>
      <c r="N383" s="35"/>
      <c r="O383" s="35"/>
      <c r="P383" s="35"/>
      <c r="Q383" s="35"/>
    </row>
    <row r="384" spans="1:17">
      <c r="A384" s="36" t="s">
        <v>1298</v>
      </c>
      <c r="B384" s="36" t="s">
        <v>3362</v>
      </c>
      <c r="C384" s="37" t="s">
        <v>2683</v>
      </c>
      <c r="D384" s="37" t="s">
        <v>2682</v>
      </c>
      <c r="E384" s="37"/>
      <c r="F384" s="37" t="s">
        <v>2683</v>
      </c>
      <c r="G384" s="37" t="s">
        <v>2682</v>
      </c>
      <c r="H384" s="35"/>
      <c r="J384" s="35"/>
      <c r="K384" s="35"/>
      <c r="L384" s="35"/>
      <c r="M384" s="35"/>
      <c r="N384" s="35"/>
      <c r="O384" s="35"/>
      <c r="P384" s="35"/>
      <c r="Q384" s="35"/>
    </row>
    <row r="385" spans="1:17">
      <c r="A385" s="36" t="s">
        <v>1300</v>
      </c>
      <c r="B385" s="36" t="s">
        <v>3363</v>
      </c>
      <c r="C385" s="37" t="s">
        <v>2683</v>
      </c>
      <c r="D385" s="37" t="s">
        <v>2682</v>
      </c>
      <c r="E385" s="37"/>
      <c r="F385" s="37" t="s">
        <v>2683</v>
      </c>
      <c r="G385" s="37" t="s">
        <v>2682</v>
      </c>
      <c r="H385" s="35"/>
      <c r="J385" s="35"/>
      <c r="K385" s="35"/>
      <c r="L385" s="35"/>
      <c r="M385" s="35"/>
      <c r="N385" s="35"/>
      <c r="O385" s="35"/>
      <c r="P385" s="35"/>
      <c r="Q385" s="35"/>
    </row>
    <row r="386" spans="1:17">
      <c r="A386" s="36" t="s">
        <v>1302</v>
      </c>
      <c r="B386" s="36" t="s">
        <v>3364</v>
      </c>
      <c r="C386" s="37" t="s">
        <v>3365</v>
      </c>
      <c r="D386" s="37" t="s">
        <v>3366</v>
      </c>
      <c r="E386" s="37"/>
      <c r="F386" s="37" t="s">
        <v>3365</v>
      </c>
      <c r="G386" s="37" t="s">
        <v>3366</v>
      </c>
      <c r="H386" s="35"/>
      <c r="J386" s="35"/>
      <c r="K386" s="35"/>
      <c r="L386" s="35"/>
      <c r="M386" s="35"/>
      <c r="N386" s="35"/>
      <c r="O386" s="35"/>
      <c r="P386" s="35"/>
      <c r="Q386" s="35"/>
    </row>
    <row r="387" spans="1:17">
      <c r="A387" s="36" t="s">
        <v>1304</v>
      </c>
      <c r="B387" s="36" t="s">
        <v>3367</v>
      </c>
      <c r="C387" s="37" t="s">
        <v>3365</v>
      </c>
      <c r="D387" s="37" t="s">
        <v>3366</v>
      </c>
      <c r="E387" s="37"/>
      <c r="F387" s="37" t="s">
        <v>3365</v>
      </c>
      <c r="G387" s="37" t="s">
        <v>3366</v>
      </c>
      <c r="H387" s="35"/>
      <c r="J387" s="35"/>
      <c r="K387" s="35"/>
      <c r="L387" s="35"/>
      <c r="M387" s="35"/>
      <c r="N387" s="35"/>
      <c r="O387" s="35"/>
      <c r="P387" s="35"/>
      <c r="Q387" s="35"/>
    </row>
    <row r="388" spans="1:17">
      <c r="A388" s="36" t="s">
        <v>1306</v>
      </c>
      <c r="B388" s="36" t="s">
        <v>3368</v>
      </c>
      <c r="C388" s="37" t="s">
        <v>3365</v>
      </c>
      <c r="D388" s="37" t="s">
        <v>3366</v>
      </c>
      <c r="E388" s="37"/>
      <c r="F388" s="37" t="s">
        <v>3365</v>
      </c>
      <c r="G388" s="37" t="s">
        <v>3366</v>
      </c>
      <c r="H388" s="35"/>
      <c r="J388" s="35"/>
      <c r="K388" s="35"/>
      <c r="L388" s="35"/>
      <c r="M388" s="35"/>
      <c r="N388" s="35"/>
      <c r="O388" s="35"/>
      <c r="P388" s="35"/>
      <c r="Q388" s="35"/>
    </row>
    <row r="389" spans="1:17">
      <c r="A389" s="36" t="s">
        <v>1308</v>
      </c>
      <c r="B389" s="36" t="s">
        <v>3369</v>
      </c>
      <c r="C389" s="37" t="s">
        <v>3365</v>
      </c>
      <c r="D389" s="37" t="s">
        <v>3366</v>
      </c>
      <c r="E389" s="37"/>
      <c r="F389" s="37" t="s">
        <v>3365</v>
      </c>
      <c r="G389" s="37" t="s">
        <v>3366</v>
      </c>
      <c r="H389" s="35"/>
      <c r="J389" s="35"/>
      <c r="K389" s="35"/>
      <c r="L389" s="35"/>
      <c r="M389" s="35"/>
      <c r="N389" s="35"/>
      <c r="O389" s="35"/>
      <c r="P389" s="35"/>
      <c r="Q389" s="35"/>
    </row>
    <row r="390" spans="1:17">
      <c r="A390" s="36" t="s">
        <v>1310</v>
      </c>
      <c r="B390" s="36" t="s">
        <v>3370</v>
      </c>
      <c r="C390" s="37" t="s">
        <v>2683</v>
      </c>
      <c r="D390" s="37" t="s">
        <v>2682</v>
      </c>
      <c r="E390" s="37"/>
      <c r="F390" s="37" t="s">
        <v>2683</v>
      </c>
      <c r="G390" s="37" t="s">
        <v>2682</v>
      </c>
      <c r="H390" s="35"/>
      <c r="J390" s="35"/>
      <c r="K390" s="35"/>
      <c r="L390" s="35"/>
      <c r="M390" s="35"/>
      <c r="N390" s="35"/>
      <c r="O390" s="35"/>
      <c r="P390" s="35"/>
      <c r="Q390" s="35"/>
    </row>
    <row r="391" spans="1:17">
      <c r="A391" s="36" t="s">
        <v>1312</v>
      </c>
      <c r="B391" s="36" t="s">
        <v>3371</v>
      </c>
      <c r="C391" s="37" t="s">
        <v>2683</v>
      </c>
      <c r="D391" s="37" t="s">
        <v>2682</v>
      </c>
      <c r="E391" s="37"/>
      <c r="F391" s="37" t="s">
        <v>2683</v>
      </c>
      <c r="G391" s="37" t="s">
        <v>2682</v>
      </c>
      <c r="H391" s="35"/>
      <c r="J391" s="35"/>
      <c r="K391" s="35"/>
      <c r="L391" s="35"/>
      <c r="M391" s="35"/>
      <c r="N391" s="35"/>
      <c r="O391" s="35"/>
      <c r="P391" s="35"/>
      <c r="Q391" s="35"/>
    </row>
    <row r="392" spans="1:17">
      <c r="A392" s="36" t="s">
        <v>1314</v>
      </c>
      <c r="B392" s="36" t="s">
        <v>3372</v>
      </c>
      <c r="C392" s="37" t="s">
        <v>2683</v>
      </c>
      <c r="D392" s="37" t="s">
        <v>2682</v>
      </c>
      <c r="E392" s="37"/>
      <c r="F392" s="37" t="s">
        <v>2683</v>
      </c>
      <c r="G392" s="37" t="s">
        <v>2682</v>
      </c>
      <c r="H392" s="35"/>
      <c r="J392" s="35"/>
      <c r="K392" s="35"/>
      <c r="L392" s="35"/>
      <c r="M392" s="35"/>
      <c r="N392" s="35"/>
      <c r="O392" s="35"/>
      <c r="P392" s="35"/>
      <c r="Q392" s="35"/>
    </row>
    <row r="393" spans="1:17">
      <c r="A393" s="36" t="s">
        <v>1316</v>
      </c>
      <c r="B393" s="36" t="s">
        <v>3373</v>
      </c>
      <c r="C393" s="37" t="s">
        <v>2683</v>
      </c>
      <c r="D393" s="37" t="s">
        <v>2682</v>
      </c>
      <c r="E393" s="37"/>
      <c r="F393" s="37" t="s">
        <v>2683</v>
      </c>
      <c r="G393" s="37" t="s">
        <v>2682</v>
      </c>
      <c r="H393" s="35"/>
      <c r="J393" s="35"/>
      <c r="K393" s="35"/>
      <c r="L393" s="35"/>
      <c r="M393" s="35"/>
      <c r="N393" s="35"/>
      <c r="O393" s="35"/>
      <c r="P393" s="35"/>
      <c r="Q393" s="35"/>
    </row>
    <row r="394" spans="1:17">
      <c r="A394" s="36" t="s">
        <v>1318</v>
      </c>
      <c r="B394" s="36" t="s">
        <v>3374</v>
      </c>
      <c r="C394" s="37" t="s">
        <v>3375</v>
      </c>
      <c r="D394" s="37" t="s">
        <v>3376</v>
      </c>
      <c r="E394" s="37"/>
      <c r="F394" s="37" t="s">
        <v>3375</v>
      </c>
      <c r="G394" s="37" t="s">
        <v>3376</v>
      </c>
      <c r="H394" s="35"/>
      <c r="J394" s="35"/>
      <c r="K394" s="35"/>
      <c r="L394" s="35"/>
      <c r="M394" s="35"/>
      <c r="N394" s="35"/>
      <c r="O394" s="35"/>
      <c r="P394" s="35"/>
      <c r="Q394" s="35"/>
    </row>
    <row r="395" spans="1:17">
      <c r="A395" s="36" t="s">
        <v>1320</v>
      </c>
      <c r="B395" s="36" t="s">
        <v>3377</v>
      </c>
      <c r="C395" s="37" t="s">
        <v>2683</v>
      </c>
      <c r="D395" s="37" t="s">
        <v>2682</v>
      </c>
      <c r="E395" s="37"/>
      <c r="F395" s="37" t="s">
        <v>2683</v>
      </c>
      <c r="G395" s="37" t="s">
        <v>2682</v>
      </c>
      <c r="H395" s="35"/>
      <c r="J395" s="35"/>
      <c r="K395" s="35"/>
      <c r="L395" s="35"/>
      <c r="M395" s="35"/>
      <c r="N395" s="35"/>
      <c r="O395" s="35"/>
      <c r="P395" s="35"/>
      <c r="Q395" s="35"/>
    </row>
    <row r="396" spans="1:17">
      <c r="A396" s="36" t="s">
        <v>1322</v>
      </c>
      <c r="B396" s="36" t="s">
        <v>3378</v>
      </c>
      <c r="C396" s="37" t="s">
        <v>2683</v>
      </c>
      <c r="D396" s="37" t="s">
        <v>2682</v>
      </c>
      <c r="E396" s="37"/>
      <c r="F396" s="37" t="s">
        <v>2683</v>
      </c>
      <c r="G396" s="37" t="s">
        <v>2682</v>
      </c>
      <c r="H396" s="35"/>
      <c r="J396" s="35"/>
      <c r="K396" s="35"/>
      <c r="L396" s="35"/>
      <c r="M396" s="35"/>
      <c r="N396" s="35"/>
      <c r="O396" s="35"/>
      <c r="P396" s="35"/>
      <c r="Q396" s="35"/>
    </row>
    <row r="397" spans="1:17">
      <c r="A397" s="36" t="s">
        <v>1324</v>
      </c>
      <c r="B397" s="36" t="s">
        <v>3379</v>
      </c>
      <c r="C397" s="37" t="s">
        <v>2586</v>
      </c>
      <c r="D397" s="37" t="s">
        <v>2631</v>
      </c>
      <c r="E397" s="37"/>
      <c r="F397" s="37" t="s">
        <v>2586</v>
      </c>
      <c r="G397" s="37" t="s">
        <v>2631</v>
      </c>
      <c r="H397" s="35"/>
      <c r="J397" s="35"/>
      <c r="K397" s="35"/>
      <c r="L397" s="35"/>
      <c r="M397" s="35"/>
      <c r="N397" s="35"/>
      <c r="O397" s="35"/>
      <c r="P397" s="35"/>
      <c r="Q397" s="35"/>
    </row>
    <row r="398" spans="1:17">
      <c r="A398" s="36" t="s">
        <v>1326</v>
      </c>
      <c r="B398" s="36" t="s">
        <v>3380</v>
      </c>
      <c r="C398" s="37" t="s">
        <v>2683</v>
      </c>
      <c r="D398" s="37" t="s">
        <v>2682</v>
      </c>
      <c r="E398" s="37"/>
      <c r="F398" s="37" t="s">
        <v>2683</v>
      </c>
      <c r="G398" s="37" t="s">
        <v>2682</v>
      </c>
      <c r="H398" s="35"/>
      <c r="J398" s="35"/>
      <c r="K398" s="35"/>
      <c r="L398" s="35"/>
      <c r="M398" s="35"/>
      <c r="N398" s="35"/>
      <c r="O398" s="35"/>
      <c r="P398" s="35"/>
      <c r="Q398" s="35"/>
    </row>
    <row r="399" spans="1:17">
      <c r="A399" s="36" t="s">
        <v>1328</v>
      </c>
      <c r="B399" s="36" t="s">
        <v>3381</v>
      </c>
      <c r="C399" s="37" t="s">
        <v>2683</v>
      </c>
      <c r="D399" s="37" t="s">
        <v>2682</v>
      </c>
      <c r="E399" s="37"/>
      <c r="F399" s="37" t="s">
        <v>2683</v>
      </c>
      <c r="G399" s="37" t="s">
        <v>2682</v>
      </c>
      <c r="H399" s="35"/>
      <c r="J399" s="35"/>
      <c r="K399" s="35"/>
      <c r="L399" s="35"/>
      <c r="M399" s="35"/>
      <c r="N399" s="35"/>
      <c r="O399" s="35"/>
      <c r="P399" s="35"/>
      <c r="Q399" s="35"/>
    </row>
    <row r="400" spans="1:17">
      <c r="A400" s="36" t="s">
        <v>1330</v>
      </c>
      <c r="B400" s="36" t="s">
        <v>3382</v>
      </c>
      <c r="C400" s="37" t="s">
        <v>2683</v>
      </c>
      <c r="D400" s="37" t="s">
        <v>2682</v>
      </c>
      <c r="E400" s="37"/>
      <c r="F400" s="37" t="s">
        <v>2683</v>
      </c>
      <c r="G400" s="37" t="s">
        <v>2682</v>
      </c>
      <c r="H400" s="35"/>
      <c r="J400" s="35"/>
      <c r="K400" s="35"/>
      <c r="L400" s="35"/>
      <c r="M400" s="35"/>
      <c r="N400" s="35"/>
      <c r="O400" s="35"/>
      <c r="P400" s="35"/>
      <c r="Q400" s="35"/>
    </row>
    <row r="401" spans="1:17">
      <c r="A401" s="36" t="s">
        <v>1332</v>
      </c>
      <c r="B401" s="36" t="s">
        <v>3383</v>
      </c>
      <c r="C401" s="37" t="s">
        <v>2683</v>
      </c>
      <c r="D401" s="37" t="s">
        <v>2682</v>
      </c>
      <c r="E401" s="37"/>
      <c r="F401" s="37" t="s">
        <v>2683</v>
      </c>
      <c r="G401" s="37" t="s">
        <v>2682</v>
      </c>
      <c r="H401" s="35"/>
      <c r="J401" s="35"/>
      <c r="K401" s="35"/>
      <c r="L401" s="35"/>
      <c r="M401" s="35"/>
      <c r="N401" s="35"/>
      <c r="O401" s="35"/>
      <c r="P401" s="35"/>
      <c r="Q401" s="35"/>
    </row>
    <row r="402" spans="1:17">
      <c r="A402" s="36" t="s">
        <v>3384</v>
      </c>
      <c r="B402" s="36" t="s">
        <v>3385</v>
      </c>
      <c r="C402" s="37"/>
      <c r="D402" s="37"/>
      <c r="E402" s="37"/>
      <c r="F402" s="37"/>
      <c r="G402" s="37"/>
      <c r="H402" s="35"/>
      <c r="J402" s="35"/>
      <c r="K402" s="35"/>
      <c r="L402" s="35"/>
      <c r="M402" s="35"/>
      <c r="N402" s="35"/>
      <c r="O402" s="35"/>
      <c r="P402" s="35"/>
      <c r="Q402" s="35"/>
    </row>
    <row r="403" spans="1:17">
      <c r="A403" s="36" t="s">
        <v>1334</v>
      </c>
      <c r="B403" s="36" t="s">
        <v>3386</v>
      </c>
      <c r="C403" s="37" t="s">
        <v>3387</v>
      </c>
      <c r="D403" s="37" t="s">
        <v>3388</v>
      </c>
      <c r="E403" s="37"/>
      <c r="F403" s="37" t="s">
        <v>3387</v>
      </c>
      <c r="G403" s="37" t="s">
        <v>3388</v>
      </c>
      <c r="H403" s="35"/>
      <c r="J403" s="35"/>
      <c r="K403" s="35"/>
      <c r="L403" s="35"/>
      <c r="M403" s="35"/>
      <c r="N403" s="35"/>
      <c r="O403" s="35"/>
      <c r="P403" s="35"/>
      <c r="Q403" s="35"/>
    </row>
    <row r="404" spans="1:17">
      <c r="A404" s="36" t="s">
        <v>1336</v>
      </c>
      <c r="B404" s="36" t="s">
        <v>3389</v>
      </c>
      <c r="C404" s="37" t="s">
        <v>3387</v>
      </c>
      <c r="D404" s="37" t="s">
        <v>3388</v>
      </c>
      <c r="E404" s="37"/>
      <c r="F404" s="37" t="s">
        <v>3387</v>
      </c>
      <c r="G404" s="37" t="s">
        <v>3388</v>
      </c>
      <c r="H404" s="35"/>
      <c r="J404" s="35"/>
      <c r="K404" s="35"/>
      <c r="L404" s="35"/>
      <c r="M404" s="35"/>
      <c r="N404" s="35"/>
      <c r="O404" s="35"/>
      <c r="P404" s="35"/>
      <c r="Q404" s="35"/>
    </row>
    <row r="405" spans="1:17">
      <c r="A405" s="36" t="s">
        <v>1338</v>
      </c>
      <c r="B405" s="36" t="s">
        <v>3390</v>
      </c>
      <c r="C405" s="37" t="s">
        <v>3387</v>
      </c>
      <c r="D405" s="37" t="s">
        <v>3388</v>
      </c>
      <c r="E405" s="37"/>
      <c r="F405" s="37" t="s">
        <v>3387</v>
      </c>
      <c r="G405" s="37" t="s">
        <v>3388</v>
      </c>
      <c r="H405" s="35"/>
      <c r="J405" s="35"/>
      <c r="K405" s="35"/>
      <c r="L405" s="35"/>
      <c r="M405" s="35"/>
      <c r="N405" s="35"/>
      <c r="O405" s="35"/>
      <c r="P405" s="35"/>
      <c r="Q405" s="35"/>
    </row>
    <row r="406" spans="1:17">
      <c r="A406" s="36" t="s">
        <v>1340</v>
      </c>
      <c r="B406" s="36" t="s">
        <v>3391</v>
      </c>
      <c r="C406" s="37" t="s">
        <v>3387</v>
      </c>
      <c r="D406" s="37" t="s">
        <v>3388</v>
      </c>
      <c r="E406" s="37"/>
      <c r="F406" s="37" t="s">
        <v>3387</v>
      </c>
      <c r="G406" s="37" t="s">
        <v>3388</v>
      </c>
      <c r="H406" s="35"/>
      <c r="J406" s="35"/>
      <c r="K406" s="35"/>
      <c r="L406" s="35"/>
      <c r="M406" s="35"/>
      <c r="N406" s="35"/>
      <c r="O406" s="35"/>
      <c r="P406" s="35"/>
      <c r="Q406" s="35"/>
    </row>
    <row r="407" spans="1:17">
      <c r="A407" s="36" t="s">
        <v>1342</v>
      </c>
      <c r="B407" s="36" t="s">
        <v>3392</v>
      </c>
      <c r="C407" s="37" t="s">
        <v>3387</v>
      </c>
      <c r="D407" s="37" t="s">
        <v>3388</v>
      </c>
      <c r="E407" s="37"/>
      <c r="F407" s="37" t="s">
        <v>3387</v>
      </c>
      <c r="G407" s="37" t="s">
        <v>3388</v>
      </c>
      <c r="H407" s="35"/>
      <c r="J407" s="35"/>
      <c r="K407" s="35"/>
      <c r="L407" s="35"/>
      <c r="M407" s="35"/>
      <c r="N407" s="35"/>
      <c r="O407" s="35"/>
      <c r="P407" s="35"/>
      <c r="Q407" s="35"/>
    </row>
    <row r="408" spans="1:17">
      <c r="A408" s="36" t="s">
        <v>1344</v>
      </c>
      <c r="B408" s="36" t="s">
        <v>3393</v>
      </c>
      <c r="C408" s="37" t="s">
        <v>3387</v>
      </c>
      <c r="D408" s="37" t="s">
        <v>3388</v>
      </c>
      <c r="E408" s="37"/>
      <c r="F408" s="37" t="s">
        <v>3387</v>
      </c>
      <c r="G408" s="37" t="s">
        <v>3388</v>
      </c>
      <c r="H408" s="35"/>
      <c r="J408" s="35"/>
      <c r="K408" s="35"/>
      <c r="L408" s="35"/>
      <c r="M408" s="35"/>
      <c r="N408" s="35"/>
      <c r="O408" s="35"/>
      <c r="P408" s="35"/>
      <c r="Q408" s="35"/>
    </row>
    <row r="409" spans="1:17">
      <c r="A409" s="36" t="s">
        <v>1346</v>
      </c>
      <c r="B409" s="36" t="s">
        <v>3394</v>
      </c>
      <c r="C409" s="37" t="s">
        <v>3387</v>
      </c>
      <c r="D409" s="37" t="s">
        <v>3388</v>
      </c>
      <c r="E409" s="37"/>
      <c r="F409" s="37" t="s">
        <v>3387</v>
      </c>
      <c r="G409" s="37" t="s">
        <v>3388</v>
      </c>
      <c r="H409" s="35"/>
      <c r="J409" s="35"/>
      <c r="K409" s="35"/>
      <c r="L409" s="35"/>
      <c r="M409" s="35"/>
      <c r="N409" s="35"/>
      <c r="O409" s="35"/>
      <c r="P409" s="35"/>
      <c r="Q409" s="35"/>
    </row>
    <row r="410" spans="1:17">
      <c r="A410" s="36" t="s">
        <v>1348</v>
      </c>
      <c r="B410" s="36" t="s">
        <v>3395</v>
      </c>
      <c r="C410" s="37" t="s">
        <v>3387</v>
      </c>
      <c r="D410" s="37" t="s">
        <v>3388</v>
      </c>
      <c r="E410" s="37"/>
      <c r="F410" s="37" t="s">
        <v>3387</v>
      </c>
      <c r="G410" s="37" t="s">
        <v>3388</v>
      </c>
      <c r="H410" s="35"/>
      <c r="J410" s="35"/>
      <c r="K410" s="35"/>
      <c r="L410" s="35"/>
      <c r="M410" s="35"/>
      <c r="N410" s="35"/>
      <c r="O410" s="35"/>
      <c r="P410" s="35"/>
      <c r="Q410" s="35"/>
    </row>
    <row r="411" spans="1:17">
      <c r="A411" s="36" t="s">
        <v>1350</v>
      </c>
      <c r="B411" s="36" t="s">
        <v>3396</v>
      </c>
      <c r="C411" s="37" t="s">
        <v>3387</v>
      </c>
      <c r="D411" s="37" t="s">
        <v>3388</v>
      </c>
      <c r="E411" s="37"/>
      <c r="F411" s="37" t="s">
        <v>3387</v>
      </c>
      <c r="G411" s="37" t="s">
        <v>3388</v>
      </c>
      <c r="H411" s="35"/>
      <c r="J411" s="35"/>
      <c r="K411" s="35"/>
      <c r="L411" s="35"/>
      <c r="M411" s="35"/>
      <c r="N411" s="35"/>
      <c r="O411" s="35"/>
      <c r="P411" s="35"/>
      <c r="Q411" s="35"/>
    </row>
    <row r="412" spans="1:17">
      <c r="A412" s="36" t="s">
        <v>1352</v>
      </c>
      <c r="B412" s="36" t="s">
        <v>3397</v>
      </c>
      <c r="C412" s="37" t="s">
        <v>3387</v>
      </c>
      <c r="D412" s="37" t="s">
        <v>3388</v>
      </c>
      <c r="E412" s="37"/>
      <c r="F412" s="37" t="s">
        <v>3387</v>
      </c>
      <c r="G412" s="37" t="s">
        <v>3388</v>
      </c>
      <c r="H412" s="35"/>
      <c r="J412" s="35"/>
      <c r="K412" s="35"/>
      <c r="L412" s="35"/>
      <c r="M412" s="35"/>
      <c r="N412" s="35"/>
      <c r="O412" s="35"/>
      <c r="P412" s="35"/>
      <c r="Q412" s="35"/>
    </row>
    <row r="413" spans="1:17">
      <c r="A413" s="36" t="s">
        <v>1354</v>
      </c>
      <c r="B413" s="36" t="s">
        <v>3398</v>
      </c>
      <c r="C413" s="37" t="s">
        <v>3387</v>
      </c>
      <c r="D413" s="37" t="s">
        <v>3388</v>
      </c>
      <c r="E413" s="37"/>
      <c r="F413" s="37" t="s">
        <v>3387</v>
      </c>
      <c r="G413" s="37" t="s">
        <v>3388</v>
      </c>
      <c r="H413" s="35"/>
      <c r="J413" s="35"/>
      <c r="K413" s="35"/>
      <c r="L413" s="35"/>
      <c r="M413" s="35"/>
      <c r="N413" s="35"/>
      <c r="O413" s="35"/>
      <c r="P413" s="35"/>
      <c r="Q413" s="35"/>
    </row>
    <row r="414" spans="1:17">
      <c r="A414" s="36" t="s">
        <v>1356</v>
      </c>
      <c r="B414" s="36" t="s">
        <v>3399</v>
      </c>
      <c r="C414" s="37" t="s">
        <v>3387</v>
      </c>
      <c r="D414" s="37" t="s">
        <v>3388</v>
      </c>
      <c r="E414" s="37"/>
      <c r="F414" s="37" t="s">
        <v>3387</v>
      </c>
      <c r="G414" s="37" t="s">
        <v>3388</v>
      </c>
      <c r="H414" s="35"/>
      <c r="J414" s="35"/>
      <c r="K414" s="35"/>
      <c r="L414" s="35"/>
      <c r="M414" s="35"/>
      <c r="N414" s="35"/>
      <c r="O414" s="35"/>
      <c r="P414" s="35"/>
      <c r="Q414" s="35"/>
    </row>
    <row r="415" spans="1:17">
      <c r="A415" s="36" t="s">
        <v>1358</v>
      </c>
      <c r="B415" s="36" t="s">
        <v>3400</v>
      </c>
      <c r="C415" s="37" t="s">
        <v>3387</v>
      </c>
      <c r="D415" s="37" t="s">
        <v>3388</v>
      </c>
      <c r="E415" s="37"/>
      <c r="F415" s="37" t="s">
        <v>3387</v>
      </c>
      <c r="G415" s="37" t="s">
        <v>3388</v>
      </c>
      <c r="H415" s="35"/>
      <c r="J415" s="35"/>
      <c r="K415" s="35"/>
      <c r="L415" s="35"/>
      <c r="M415" s="35"/>
      <c r="N415" s="35"/>
      <c r="O415" s="35"/>
      <c r="P415" s="35"/>
      <c r="Q415" s="35"/>
    </row>
    <row r="416" spans="1:17">
      <c r="A416" s="36" t="s">
        <v>1360</v>
      </c>
      <c r="B416" s="36" t="s">
        <v>3401</v>
      </c>
      <c r="C416" s="37" t="s">
        <v>3387</v>
      </c>
      <c r="D416" s="37" t="s">
        <v>3388</v>
      </c>
      <c r="E416" s="37"/>
      <c r="F416" s="37" t="s">
        <v>3387</v>
      </c>
      <c r="G416" s="37" t="s">
        <v>3388</v>
      </c>
      <c r="H416" s="35"/>
      <c r="J416" s="35"/>
      <c r="K416" s="35"/>
      <c r="L416" s="35"/>
      <c r="M416" s="35"/>
      <c r="N416" s="35"/>
      <c r="O416" s="35"/>
      <c r="P416" s="35"/>
      <c r="Q416" s="35"/>
    </row>
    <row r="417" spans="1:17">
      <c r="A417" s="36" t="s">
        <v>1362</v>
      </c>
      <c r="B417" s="36" t="s">
        <v>3402</v>
      </c>
      <c r="C417" s="37" t="s">
        <v>3387</v>
      </c>
      <c r="D417" s="37" t="s">
        <v>3388</v>
      </c>
      <c r="E417" s="37"/>
      <c r="F417" s="37" t="s">
        <v>3387</v>
      </c>
      <c r="G417" s="37" t="s">
        <v>3388</v>
      </c>
      <c r="H417" s="35"/>
      <c r="J417" s="35"/>
      <c r="K417" s="35"/>
      <c r="L417" s="35"/>
      <c r="M417" s="35"/>
      <c r="N417" s="35"/>
      <c r="O417" s="35"/>
      <c r="P417" s="35"/>
      <c r="Q417" s="35"/>
    </row>
    <row r="418" spans="1:17">
      <c r="A418" s="36" t="s">
        <v>1364</v>
      </c>
      <c r="B418" s="36" t="s">
        <v>3403</v>
      </c>
      <c r="C418" s="37" t="s">
        <v>3387</v>
      </c>
      <c r="D418" s="37" t="s">
        <v>3388</v>
      </c>
      <c r="E418" s="37"/>
      <c r="F418" s="37" t="s">
        <v>3387</v>
      </c>
      <c r="G418" s="37" t="s">
        <v>3388</v>
      </c>
      <c r="H418" s="35"/>
      <c r="J418" s="35"/>
      <c r="K418" s="35"/>
      <c r="L418" s="35"/>
      <c r="M418" s="35"/>
      <c r="N418" s="35"/>
      <c r="O418" s="35"/>
      <c r="P418" s="35"/>
      <c r="Q418" s="35"/>
    </row>
    <row r="419" spans="1:17">
      <c r="A419" s="36" t="s">
        <v>1366</v>
      </c>
      <c r="B419" s="36" t="s">
        <v>3404</v>
      </c>
      <c r="C419" s="37" t="s">
        <v>3387</v>
      </c>
      <c r="D419" s="37" t="s">
        <v>3388</v>
      </c>
      <c r="E419" s="37"/>
      <c r="F419" s="37" t="s">
        <v>3387</v>
      </c>
      <c r="G419" s="37" t="s">
        <v>3388</v>
      </c>
      <c r="H419" s="35"/>
      <c r="J419" s="35"/>
      <c r="K419" s="35"/>
      <c r="L419" s="35"/>
      <c r="M419" s="35"/>
      <c r="N419" s="35"/>
      <c r="O419" s="35"/>
      <c r="P419" s="35"/>
      <c r="Q419" s="35"/>
    </row>
    <row r="420" spans="1:17">
      <c r="A420" s="36" t="s">
        <v>1368</v>
      </c>
      <c r="B420" s="36" t="s">
        <v>3405</v>
      </c>
      <c r="C420" s="37" t="s">
        <v>3387</v>
      </c>
      <c r="D420" s="37" t="s">
        <v>3388</v>
      </c>
      <c r="E420" s="37"/>
      <c r="F420" s="37" t="s">
        <v>3387</v>
      </c>
      <c r="G420" s="37" t="s">
        <v>3388</v>
      </c>
      <c r="H420" s="35"/>
      <c r="J420" s="35"/>
      <c r="K420" s="35"/>
      <c r="L420" s="35"/>
      <c r="M420" s="35"/>
      <c r="N420" s="35"/>
      <c r="O420" s="35"/>
      <c r="P420" s="35"/>
      <c r="Q420" s="35"/>
    </row>
    <row r="421" spans="1:17">
      <c r="A421" s="36" t="s">
        <v>1370</v>
      </c>
      <c r="B421" s="36" t="s">
        <v>3406</v>
      </c>
      <c r="C421" s="37" t="s">
        <v>3387</v>
      </c>
      <c r="D421" s="37" t="s">
        <v>3388</v>
      </c>
      <c r="E421" s="37"/>
      <c r="F421" s="37" t="s">
        <v>3387</v>
      </c>
      <c r="G421" s="37" t="s">
        <v>3388</v>
      </c>
      <c r="H421" s="35"/>
      <c r="J421" s="35"/>
      <c r="K421" s="35"/>
      <c r="L421" s="35"/>
      <c r="M421" s="35"/>
      <c r="N421" s="35"/>
      <c r="O421" s="35"/>
      <c r="P421" s="35"/>
      <c r="Q421" s="35"/>
    </row>
    <row r="422" spans="1:17">
      <c r="A422" s="36" t="s">
        <v>1372</v>
      </c>
      <c r="B422" s="36" t="s">
        <v>3407</v>
      </c>
      <c r="C422" s="37" t="s">
        <v>3387</v>
      </c>
      <c r="D422" s="37" t="s">
        <v>3388</v>
      </c>
      <c r="E422" s="37"/>
      <c r="F422" s="37" t="s">
        <v>3387</v>
      </c>
      <c r="G422" s="37" t="s">
        <v>3388</v>
      </c>
      <c r="H422" s="35"/>
      <c r="J422" s="35"/>
      <c r="K422" s="35"/>
      <c r="L422" s="35"/>
      <c r="M422" s="35"/>
      <c r="N422" s="35"/>
      <c r="O422" s="35"/>
      <c r="P422" s="35"/>
      <c r="Q422" s="35"/>
    </row>
    <row r="423" spans="1:17">
      <c r="A423" s="36" t="s">
        <v>1374</v>
      </c>
      <c r="B423" s="36" t="s">
        <v>3408</v>
      </c>
      <c r="C423" s="37" t="s">
        <v>3387</v>
      </c>
      <c r="D423" s="37" t="s">
        <v>3388</v>
      </c>
      <c r="E423" s="37"/>
      <c r="F423" s="37" t="s">
        <v>3387</v>
      </c>
      <c r="G423" s="37" t="s">
        <v>3388</v>
      </c>
      <c r="H423" s="35"/>
      <c r="J423" s="35"/>
      <c r="K423" s="35"/>
      <c r="L423" s="35"/>
      <c r="M423" s="35"/>
      <c r="N423" s="35"/>
      <c r="O423" s="35"/>
      <c r="P423" s="35"/>
      <c r="Q423" s="35"/>
    </row>
    <row r="424" spans="1:17">
      <c r="A424" s="36" t="s">
        <v>1376</v>
      </c>
      <c r="B424" s="36" t="s">
        <v>3409</v>
      </c>
      <c r="C424" s="37" t="s">
        <v>3387</v>
      </c>
      <c r="D424" s="37" t="s">
        <v>3388</v>
      </c>
      <c r="E424" s="37"/>
      <c r="F424" s="37" t="s">
        <v>3387</v>
      </c>
      <c r="G424" s="37" t="s">
        <v>3388</v>
      </c>
      <c r="H424" s="35"/>
      <c r="J424" s="35"/>
      <c r="K424" s="35"/>
      <c r="L424" s="35"/>
      <c r="M424" s="35"/>
      <c r="N424" s="35"/>
      <c r="O424" s="35"/>
      <c r="P424" s="35"/>
      <c r="Q424" s="35"/>
    </row>
    <row r="425" spans="1:17">
      <c r="A425" s="36" t="s">
        <v>1378</v>
      </c>
      <c r="B425" s="36" t="s">
        <v>3410</v>
      </c>
      <c r="C425" s="37" t="s">
        <v>3387</v>
      </c>
      <c r="D425" s="37" t="s">
        <v>3388</v>
      </c>
      <c r="E425" s="37"/>
      <c r="F425" s="37" t="s">
        <v>3387</v>
      </c>
      <c r="G425" s="37" t="s">
        <v>3388</v>
      </c>
      <c r="H425" s="35"/>
      <c r="J425" s="35"/>
      <c r="K425" s="35"/>
      <c r="L425" s="35"/>
      <c r="M425" s="35"/>
      <c r="N425" s="35"/>
      <c r="O425" s="35"/>
      <c r="P425" s="35"/>
      <c r="Q425" s="35"/>
    </row>
    <row r="426" spans="1:17">
      <c r="A426" s="36" t="s">
        <v>1380</v>
      </c>
      <c r="B426" s="36" t="s">
        <v>3411</v>
      </c>
      <c r="C426" s="37" t="s">
        <v>3387</v>
      </c>
      <c r="D426" s="37" t="s">
        <v>3388</v>
      </c>
      <c r="E426" s="37"/>
      <c r="F426" s="37" t="s">
        <v>3387</v>
      </c>
      <c r="G426" s="37" t="s">
        <v>3388</v>
      </c>
      <c r="H426" s="35"/>
      <c r="J426" s="35"/>
      <c r="K426" s="35"/>
      <c r="L426" s="35"/>
      <c r="M426" s="35"/>
      <c r="N426" s="35"/>
      <c r="O426" s="35"/>
      <c r="P426" s="35"/>
      <c r="Q426" s="35"/>
    </row>
    <row r="427" spans="1:17">
      <c r="A427" s="36" t="s">
        <v>1382</v>
      </c>
      <c r="B427" s="36" t="s">
        <v>3412</v>
      </c>
      <c r="C427" s="37" t="s">
        <v>3387</v>
      </c>
      <c r="D427" s="37" t="s">
        <v>3388</v>
      </c>
      <c r="E427" s="37"/>
      <c r="F427" s="37" t="s">
        <v>3387</v>
      </c>
      <c r="G427" s="37" t="s">
        <v>3388</v>
      </c>
      <c r="H427" s="35"/>
      <c r="J427" s="35"/>
      <c r="K427" s="35"/>
      <c r="L427" s="35"/>
      <c r="M427" s="35"/>
      <c r="N427" s="35"/>
      <c r="O427" s="35"/>
      <c r="P427" s="35"/>
      <c r="Q427" s="35"/>
    </row>
    <row r="428" spans="1:17">
      <c r="A428" s="36" t="s">
        <v>3413</v>
      </c>
      <c r="B428" s="36" t="s">
        <v>3414</v>
      </c>
      <c r="C428" s="37"/>
      <c r="D428" s="37"/>
      <c r="E428" s="37"/>
      <c r="F428" s="37"/>
      <c r="G428" s="37"/>
      <c r="H428" s="35"/>
      <c r="J428" s="35"/>
      <c r="K428" s="35"/>
      <c r="L428" s="35"/>
      <c r="M428" s="35"/>
      <c r="N428" s="35"/>
      <c r="O428" s="35"/>
      <c r="P428" s="35"/>
      <c r="Q428" s="35"/>
    </row>
    <row r="429" spans="1:17">
      <c r="A429" s="36" t="s">
        <v>1384</v>
      </c>
      <c r="B429" s="36" t="s">
        <v>3415</v>
      </c>
      <c r="C429" s="37" t="s">
        <v>3387</v>
      </c>
      <c r="D429" s="37" t="s">
        <v>3388</v>
      </c>
      <c r="E429" s="37"/>
      <c r="F429" s="37" t="s">
        <v>3387</v>
      </c>
      <c r="G429" s="37" t="s">
        <v>3388</v>
      </c>
      <c r="H429" s="35"/>
      <c r="J429" s="35"/>
      <c r="K429" s="35"/>
      <c r="L429" s="35"/>
      <c r="M429" s="35"/>
      <c r="N429" s="35"/>
      <c r="O429" s="35"/>
      <c r="P429" s="35"/>
      <c r="Q429" s="35"/>
    </row>
    <row r="430" spans="1:17">
      <c r="A430" s="36" t="s">
        <v>1386</v>
      </c>
      <c r="B430" s="36" t="s">
        <v>3416</v>
      </c>
      <c r="C430" s="37" t="s">
        <v>3387</v>
      </c>
      <c r="D430" s="37" t="s">
        <v>3388</v>
      </c>
      <c r="E430" s="37"/>
      <c r="F430" s="37" t="s">
        <v>3387</v>
      </c>
      <c r="G430" s="37" t="s">
        <v>3388</v>
      </c>
      <c r="H430" s="35"/>
      <c r="J430" s="35"/>
      <c r="K430" s="35"/>
      <c r="L430" s="35"/>
      <c r="M430" s="35"/>
      <c r="N430" s="35"/>
      <c r="O430" s="35"/>
      <c r="P430" s="35"/>
      <c r="Q430" s="35"/>
    </row>
    <row r="431" spans="1:17">
      <c r="A431" s="36" t="s">
        <v>1388</v>
      </c>
      <c r="B431" s="36" t="s">
        <v>3417</v>
      </c>
      <c r="C431" s="37" t="s">
        <v>3387</v>
      </c>
      <c r="D431" s="37" t="s">
        <v>3388</v>
      </c>
      <c r="E431" s="37"/>
      <c r="F431" s="37" t="s">
        <v>3387</v>
      </c>
      <c r="G431" s="37" t="s">
        <v>3388</v>
      </c>
      <c r="H431" s="35"/>
      <c r="J431" s="35"/>
      <c r="K431" s="35"/>
      <c r="L431" s="35"/>
      <c r="M431" s="35"/>
      <c r="N431" s="35"/>
      <c r="O431" s="35"/>
      <c r="P431" s="35"/>
      <c r="Q431" s="35"/>
    </row>
    <row r="432" spans="1:17">
      <c r="A432" s="36" t="s">
        <v>1390</v>
      </c>
      <c r="B432" s="36" t="s">
        <v>3418</v>
      </c>
      <c r="C432" s="37" t="s">
        <v>3387</v>
      </c>
      <c r="D432" s="37" t="s">
        <v>3388</v>
      </c>
      <c r="E432" s="37"/>
      <c r="F432" s="37" t="s">
        <v>3387</v>
      </c>
      <c r="G432" s="37" t="s">
        <v>3388</v>
      </c>
      <c r="H432" s="35"/>
      <c r="J432" s="35"/>
      <c r="K432" s="35"/>
      <c r="L432" s="35"/>
      <c r="M432" s="35"/>
      <c r="N432" s="35"/>
      <c r="O432" s="35"/>
      <c r="P432" s="35"/>
      <c r="Q432" s="35"/>
    </row>
    <row r="433" spans="1:17">
      <c r="A433" s="36" t="s">
        <v>1392</v>
      </c>
      <c r="B433" s="36" t="s">
        <v>3419</v>
      </c>
      <c r="C433" s="37" t="s">
        <v>3387</v>
      </c>
      <c r="D433" s="37" t="s">
        <v>3388</v>
      </c>
      <c r="E433" s="37"/>
      <c r="F433" s="37" t="s">
        <v>3387</v>
      </c>
      <c r="G433" s="37" t="s">
        <v>3388</v>
      </c>
      <c r="H433" s="35"/>
      <c r="J433" s="35"/>
      <c r="K433" s="35"/>
      <c r="L433" s="35"/>
      <c r="M433" s="35"/>
      <c r="N433" s="35"/>
      <c r="O433" s="35"/>
      <c r="P433" s="35"/>
      <c r="Q433" s="35"/>
    </row>
    <row r="434" spans="1:17">
      <c r="A434" s="36" t="s">
        <v>1394</v>
      </c>
      <c r="B434" s="36" t="s">
        <v>3420</v>
      </c>
      <c r="C434" s="37" t="s">
        <v>3387</v>
      </c>
      <c r="D434" s="37" t="s">
        <v>3388</v>
      </c>
      <c r="E434" s="37"/>
      <c r="F434" s="37" t="s">
        <v>3387</v>
      </c>
      <c r="G434" s="37" t="s">
        <v>3388</v>
      </c>
      <c r="H434" s="35"/>
      <c r="J434" s="35"/>
      <c r="K434" s="35"/>
      <c r="L434" s="35"/>
      <c r="M434" s="35"/>
      <c r="N434" s="35"/>
      <c r="O434" s="35"/>
      <c r="P434" s="35"/>
      <c r="Q434" s="35"/>
    </row>
    <row r="435" spans="1:17">
      <c r="A435" s="36" t="s">
        <v>1396</v>
      </c>
      <c r="B435" s="36" t="s">
        <v>3421</v>
      </c>
      <c r="C435" s="37" t="s">
        <v>3387</v>
      </c>
      <c r="D435" s="37" t="s">
        <v>3388</v>
      </c>
      <c r="E435" s="37"/>
      <c r="F435" s="37" t="s">
        <v>3387</v>
      </c>
      <c r="G435" s="37" t="s">
        <v>3388</v>
      </c>
      <c r="H435" s="35"/>
      <c r="J435" s="35"/>
      <c r="K435" s="35"/>
      <c r="L435" s="35"/>
      <c r="M435" s="35"/>
      <c r="N435" s="35"/>
      <c r="O435" s="35"/>
      <c r="P435" s="35"/>
      <c r="Q435" s="35"/>
    </row>
    <row r="436" spans="1:17">
      <c r="A436" s="36" t="s">
        <v>1398</v>
      </c>
      <c r="B436" s="36" t="s">
        <v>3422</v>
      </c>
      <c r="C436" s="37" t="s">
        <v>3387</v>
      </c>
      <c r="D436" s="37" t="s">
        <v>3388</v>
      </c>
      <c r="E436" s="37"/>
      <c r="F436" s="37" t="s">
        <v>3387</v>
      </c>
      <c r="G436" s="37" t="s">
        <v>3388</v>
      </c>
      <c r="H436" s="35"/>
      <c r="J436" s="35"/>
      <c r="K436" s="35"/>
      <c r="L436" s="35"/>
      <c r="M436" s="35"/>
      <c r="N436" s="35"/>
      <c r="O436" s="35"/>
      <c r="P436" s="35"/>
      <c r="Q436" s="35"/>
    </row>
    <row r="437" spans="1:17">
      <c r="A437" s="36" t="s">
        <v>1400</v>
      </c>
      <c r="B437" s="36" t="s">
        <v>3423</v>
      </c>
      <c r="C437" s="37" t="s">
        <v>3387</v>
      </c>
      <c r="D437" s="37" t="s">
        <v>3388</v>
      </c>
      <c r="E437" s="37"/>
      <c r="F437" s="37" t="s">
        <v>3387</v>
      </c>
      <c r="G437" s="37" t="s">
        <v>3388</v>
      </c>
      <c r="H437" s="35"/>
      <c r="J437" s="35"/>
      <c r="K437" s="35"/>
      <c r="L437" s="35"/>
      <c r="M437" s="35"/>
      <c r="N437" s="35"/>
      <c r="O437" s="35"/>
      <c r="P437" s="35"/>
      <c r="Q437" s="35"/>
    </row>
    <row r="438" spans="1:17">
      <c r="A438" s="36" t="s">
        <v>1402</v>
      </c>
      <c r="B438" s="36" t="s">
        <v>3424</v>
      </c>
      <c r="C438" s="37" t="s">
        <v>3387</v>
      </c>
      <c r="D438" s="37" t="s">
        <v>3388</v>
      </c>
      <c r="E438" s="37"/>
      <c r="F438" s="37" t="s">
        <v>3387</v>
      </c>
      <c r="G438" s="37" t="s">
        <v>3388</v>
      </c>
      <c r="H438" s="35"/>
      <c r="J438" s="35"/>
      <c r="K438" s="35"/>
      <c r="L438" s="35"/>
      <c r="M438" s="35"/>
      <c r="N438" s="35"/>
      <c r="O438" s="35"/>
      <c r="P438" s="35"/>
      <c r="Q438" s="35"/>
    </row>
    <row r="439" spans="1:17">
      <c r="A439" s="36" t="s">
        <v>1404</v>
      </c>
      <c r="B439" s="36" t="s">
        <v>3425</v>
      </c>
      <c r="C439" s="37" t="s">
        <v>3387</v>
      </c>
      <c r="D439" s="37" t="s">
        <v>3388</v>
      </c>
      <c r="E439" s="37"/>
      <c r="F439" s="37" t="s">
        <v>3387</v>
      </c>
      <c r="G439" s="37" t="s">
        <v>3388</v>
      </c>
      <c r="H439" s="35"/>
      <c r="J439" s="35"/>
      <c r="K439" s="35"/>
      <c r="L439" s="35"/>
      <c r="M439" s="35"/>
      <c r="N439" s="35"/>
      <c r="O439" s="35"/>
      <c r="P439" s="35"/>
      <c r="Q439" s="35"/>
    </row>
    <row r="440" spans="1:17">
      <c r="A440" s="36" t="s">
        <v>1406</v>
      </c>
      <c r="B440" s="36" t="s">
        <v>3426</v>
      </c>
      <c r="C440" s="37" t="s">
        <v>3387</v>
      </c>
      <c r="D440" s="37" t="s">
        <v>3388</v>
      </c>
      <c r="E440" s="37"/>
      <c r="F440" s="37" t="s">
        <v>3387</v>
      </c>
      <c r="G440" s="37" t="s">
        <v>3388</v>
      </c>
      <c r="H440" s="35"/>
      <c r="J440" s="35"/>
      <c r="K440" s="35"/>
      <c r="L440" s="35"/>
      <c r="M440" s="35"/>
      <c r="N440" s="35"/>
      <c r="O440" s="35"/>
      <c r="P440" s="35"/>
      <c r="Q440" s="35"/>
    </row>
    <row r="441" spans="1:17">
      <c r="A441" s="36" t="s">
        <v>1408</v>
      </c>
      <c r="B441" s="36" t="s">
        <v>3427</v>
      </c>
      <c r="C441" s="37" t="s">
        <v>3387</v>
      </c>
      <c r="D441" s="37" t="s">
        <v>3388</v>
      </c>
      <c r="E441" s="37"/>
      <c r="F441" s="37" t="s">
        <v>3387</v>
      </c>
      <c r="G441" s="37" t="s">
        <v>3388</v>
      </c>
      <c r="H441" s="35"/>
      <c r="J441" s="35"/>
      <c r="K441" s="35"/>
      <c r="L441" s="35"/>
      <c r="M441" s="35"/>
      <c r="N441" s="35"/>
      <c r="O441" s="35"/>
      <c r="P441" s="35"/>
      <c r="Q441" s="35"/>
    </row>
    <row r="442" spans="1:17">
      <c r="A442" s="36" t="s">
        <v>1410</v>
      </c>
      <c r="B442" s="36" t="s">
        <v>3428</v>
      </c>
      <c r="C442" s="37" t="s">
        <v>3387</v>
      </c>
      <c r="D442" s="37" t="s">
        <v>3388</v>
      </c>
      <c r="E442" s="37"/>
      <c r="F442" s="37" t="s">
        <v>3387</v>
      </c>
      <c r="G442" s="37" t="s">
        <v>3388</v>
      </c>
      <c r="H442" s="35"/>
      <c r="J442" s="35"/>
      <c r="K442" s="35"/>
      <c r="L442" s="35"/>
      <c r="M442" s="35"/>
      <c r="N442" s="35"/>
      <c r="O442" s="35"/>
      <c r="P442" s="35"/>
      <c r="Q442" s="35"/>
    </row>
    <row r="443" spans="1:17">
      <c r="A443" s="36" t="s">
        <v>1412</v>
      </c>
      <c r="B443" s="36" t="s">
        <v>3429</v>
      </c>
      <c r="C443" s="37" t="s">
        <v>3387</v>
      </c>
      <c r="D443" s="37" t="s">
        <v>3388</v>
      </c>
      <c r="E443" s="37"/>
      <c r="F443" s="37" t="s">
        <v>3387</v>
      </c>
      <c r="G443" s="37" t="s">
        <v>3388</v>
      </c>
      <c r="H443" s="35"/>
      <c r="J443" s="35"/>
      <c r="K443" s="35"/>
      <c r="L443" s="35"/>
      <c r="M443" s="35"/>
      <c r="N443" s="35"/>
      <c r="O443" s="35"/>
      <c r="P443" s="35"/>
      <c r="Q443" s="35"/>
    </row>
    <row r="444" spans="1:17">
      <c r="A444" s="36" t="s">
        <v>1414</v>
      </c>
      <c r="B444" s="36" t="s">
        <v>3430</v>
      </c>
      <c r="C444" s="37" t="s">
        <v>3387</v>
      </c>
      <c r="D444" s="37" t="s">
        <v>3388</v>
      </c>
      <c r="E444" s="37"/>
      <c r="F444" s="37" t="s">
        <v>3387</v>
      </c>
      <c r="G444" s="37" t="s">
        <v>3388</v>
      </c>
      <c r="H444" s="35"/>
      <c r="J444" s="35"/>
      <c r="K444" s="35"/>
      <c r="L444" s="35"/>
      <c r="M444" s="35"/>
      <c r="N444" s="35"/>
      <c r="O444" s="35"/>
      <c r="P444" s="35"/>
      <c r="Q444" s="35"/>
    </row>
    <row r="445" spans="1:17">
      <c r="A445" s="36" t="s">
        <v>1416</v>
      </c>
      <c r="B445" s="36" t="s">
        <v>3431</v>
      </c>
      <c r="C445" s="37" t="s">
        <v>3387</v>
      </c>
      <c r="D445" s="37" t="s">
        <v>3388</v>
      </c>
      <c r="E445" s="37"/>
      <c r="F445" s="37" t="s">
        <v>3387</v>
      </c>
      <c r="G445" s="37" t="s">
        <v>3388</v>
      </c>
      <c r="H445" s="35"/>
      <c r="J445" s="35"/>
      <c r="K445" s="35"/>
      <c r="L445" s="35"/>
      <c r="M445" s="35"/>
      <c r="N445" s="35"/>
      <c r="O445" s="35"/>
      <c r="P445" s="35"/>
      <c r="Q445" s="35"/>
    </row>
    <row r="446" spans="1:17">
      <c r="A446" s="36" t="s">
        <v>1418</v>
      </c>
      <c r="B446" s="36" t="s">
        <v>3432</v>
      </c>
      <c r="C446" s="37" t="s">
        <v>3387</v>
      </c>
      <c r="D446" s="37" t="s">
        <v>3388</v>
      </c>
      <c r="E446" s="37"/>
      <c r="F446" s="37" t="s">
        <v>3387</v>
      </c>
      <c r="G446" s="37" t="s">
        <v>3388</v>
      </c>
      <c r="H446" s="35"/>
      <c r="J446" s="35"/>
      <c r="K446" s="35"/>
      <c r="L446" s="35"/>
      <c r="M446" s="35"/>
      <c r="N446" s="35"/>
      <c r="O446" s="35"/>
      <c r="P446" s="35"/>
      <c r="Q446" s="35"/>
    </row>
    <row r="447" spans="1:17">
      <c r="A447" s="36" t="s">
        <v>1420</v>
      </c>
      <c r="B447" s="36" t="s">
        <v>3433</v>
      </c>
      <c r="C447" s="37" t="s">
        <v>3387</v>
      </c>
      <c r="D447" s="37" t="s">
        <v>3388</v>
      </c>
      <c r="E447" s="37"/>
      <c r="F447" s="37" t="s">
        <v>3387</v>
      </c>
      <c r="G447" s="37" t="s">
        <v>3388</v>
      </c>
      <c r="H447" s="35"/>
      <c r="J447" s="35"/>
      <c r="K447" s="35"/>
      <c r="L447" s="35"/>
      <c r="M447" s="35"/>
      <c r="N447" s="35"/>
      <c r="O447" s="35"/>
      <c r="P447" s="35"/>
      <c r="Q447" s="35"/>
    </row>
    <row r="448" spans="1:17">
      <c r="A448" s="36" t="s">
        <v>1422</v>
      </c>
      <c r="B448" s="36" t="s">
        <v>3434</v>
      </c>
      <c r="C448" s="37" t="s">
        <v>3387</v>
      </c>
      <c r="D448" s="37" t="s">
        <v>3388</v>
      </c>
      <c r="E448" s="37"/>
      <c r="F448" s="37" t="s">
        <v>3387</v>
      </c>
      <c r="G448" s="37" t="s">
        <v>3388</v>
      </c>
      <c r="H448" s="35"/>
      <c r="J448" s="35"/>
      <c r="K448" s="35"/>
      <c r="L448" s="35"/>
      <c r="M448" s="35"/>
      <c r="N448" s="35"/>
      <c r="O448" s="35"/>
      <c r="P448" s="35"/>
      <c r="Q448" s="35"/>
    </row>
    <row r="449" spans="1:17">
      <c r="A449" s="36" t="s">
        <v>1424</v>
      </c>
      <c r="B449" s="36" t="s">
        <v>3435</v>
      </c>
      <c r="C449" s="37" t="s">
        <v>3387</v>
      </c>
      <c r="D449" s="37" t="s">
        <v>3388</v>
      </c>
      <c r="E449" s="37"/>
      <c r="F449" s="37" t="s">
        <v>3387</v>
      </c>
      <c r="G449" s="37" t="s">
        <v>3388</v>
      </c>
      <c r="H449" s="35"/>
      <c r="J449" s="35"/>
      <c r="K449" s="35"/>
      <c r="L449" s="35"/>
      <c r="M449" s="35"/>
      <c r="N449" s="35"/>
      <c r="O449" s="35"/>
      <c r="P449" s="35"/>
      <c r="Q449" s="35"/>
    </row>
    <row r="450" spans="1:17">
      <c r="A450" s="36" t="s">
        <v>1426</v>
      </c>
      <c r="B450" s="36" t="s">
        <v>3436</v>
      </c>
      <c r="C450" s="37" t="s">
        <v>3387</v>
      </c>
      <c r="D450" s="37" t="s">
        <v>3388</v>
      </c>
      <c r="E450" s="37"/>
      <c r="F450" s="37" t="s">
        <v>3387</v>
      </c>
      <c r="G450" s="37" t="s">
        <v>3388</v>
      </c>
      <c r="H450" s="35"/>
      <c r="J450" s="35"/>
      <c r="K450" s="35"/>
      <c r="L450" s="35"/>
      <c r="M450" s="35"/>
      <c r="N450" s="35"/>
      <c r="O450" s="35"/>
      <c r="P450" s="35"/>
      <c r="Q450" s="35"/>
    </row>
    <row r="451" spans="1:17">
      <c r="A451" s="36" t="s">
        <v>1428</v>
      </c>
      <c r="B451" s="36" t="s">
        <v>3437</v>
      </c>
      <c r="C451" s="37" t="s">
        <v>3387</v>
      </c>
      <c r="D451" s="37" t="s">
        <v>3388</v>
      </c>
      <c r="E451" s="37"/>
      <c r="F451" s="37" t="s">
        <v>3387</v>
      </c>
      <c r="G451" s="37" t="s">
        <v>3388</v>
      </c>
      <c r="H451" s="35"/>
      <c r="J451" s="35"/>
      <c r="K451" s="35"/>
      <c r="L451" s="35"/>
      <c r="M451" s="35"/>
      <c r="N451" s="35"/>
      <c r="O451" s="35"/>
      <c r="P451" s="35"/>
      <c r="Q451" s="35"/>
    </row>
    <row r="452" spans="1:17">
      <c r="A452" s="36" t="s">
        <v>1430</v>
      </c>
      <c r="B452" s="36" t="s">
        <v>3438</v>
      </c>
      <c r="C452" s="37" t="s">
        <v>3387</v>
      </c>
      <c r="D452" s="37" t="s">
        <v>3388</v>
      </c>
      <c r="E452" s="37"/>
      <c r="F452" s="37" t="s">
        <v>3387</v>
      </c>
      <c r="G452" s="37" t="s">
        <v>3388</v>
      </c>
      <c r="H452" s="35"/>
      <c r="J452" s="35"/>
      <c r="K452" s="35"/>
      <c r="L452" s="35"/>
      <c r="M452" s="35"/>
      <c r="N452" s="35"/>
      <c r="O452" s="35"/>
      <c r="P452" s="35"/>
      <c r="Q452" s="35"/>
    </row>
    <row r="453" spans="1:17">
      <c r="A453" s="36" t="s">
        <v>1432</v>
      </c>
      <c r="B453" s="36" t="s">
        <v>3439</v>
      </c>
      <c r="C453" s="37" t="s">
        <v>3387</v>
      </c>
      <c r="D453" s="37" t="s">
        <v>3388</v>
      </c>
      <c r="E453" s="37"/>
      <c r="F453" s="37" t="s">
        <v>3387</v>
      </c>
      <c r="G453" s="37" t="s">
        <v>3388</v>
      </c>
      <c r="H453" s="35"/>
      <c r="J453" s="35"/>
      <c r="K453" s="35"/>
      <c r="L453" s="35"/>
      <c r="M453" s="35"/>
      <c r="N453" s="35"/>
      <c r="O453" s="35"/>
      <c r="P453" s="35"/>
      <c r="Q453" s="35"/>
    </row>
    <row r="454" spans="1:17">
      <c r="A454" s="36" t="s">
        <v>1434</v>
      </c>
      <c r="B454" s="36" t="s">
        <v>3440</v>
      </c>
      <c r="C454" s="37" t="s">
        <v>2800</v>
      </c>
      <c r="D454" s="37" t="s">
        <v>2799</v>
      </c>
      <c r="E454" s="37"/>
      <c r="F454" s="37" t="s">
        <v>2800</v>
      </c>
      <c r="G454" s="37" t="s">
        <v>2799</v>
      </c>
      <c r="H454" s="35"/>
      <c r="J454" s="35"/>
      <c r="K454" s="35"/>
      <c r="L454" s="35"/>
      <c r="M454" s="35"/>
      <c r="N454" s="35"/>
      <c r="O454" s="35"/>
      <c r="P454" s="35"/>
      <c r="Q454" s="35"/>
    </row>
    <row r="455" spans="1:17">
      <c r="A455" s="36" t="s">
        <v>1436</v>
      </c>
      <c r="B455" s="36" t="s">
        <v>3441</v>
      </c>
      <c r="C455" s="37" t="s">
        <v>2800</v>
      </c>
      <c r="D455" s="37" t="s">
        <v>2799</v>
      </c>
      <c r="E455" s="37"/>
      <c r="F455" s="37" t="s">
        <v>2800</v>
      </c>
      <c r="G455" s="37" t="s">
        <v>2799</v>
      </c>
      <c r="H455" s="35"/>
      <c r="J455" s="35"/>
      <c r="K455" s="35"/>
      <c r="L455" s="35"/>
      <c r="M455" s="35"/>
      <c r="N455" s="35"/>
      <c r="O455" s="35"/>
      <c r="P455" s="35"/>
      <c r="Q455" s="35"/>
    </row>
    <row r="456" spans="1:17">
      <c r="A456" s="36" t="s">
        <v>1438</v>
      </c>
      <c r="B456" s="36" t="s">
        <v>3442</v>
      </c>
      <c r="C456" s="37" t="s">
        <v>2800</v>
      </c>
      <c r="D456" s="37" t="s">
        <v>2799</v>
      </c>
      <c r="E456" s="37"/>
      <c r="F456" s="37" t="s">
        <v>2800</v>
      </c>
      <c r="G456" s="37" t="s">
        <v>2799</v>
      </c>
      <c r="H456" s="35"/>
      <c r="J456" s="35"/>
      <c r="K456" s="35"/>
      <c r="L456" s="35"/>
      <c r="M456" s="35"/>
      <c r="N456" s="35"/>
      <c r="O456" s="35"/>
      <c r="P456" s="35"/>
      <c r="Q456" s="35"/>
    </row>
    <row r="457" spans="1:17">
      <c r="A457" s="36" t="s">
        <v>1440</v>
      </c>
      <c r="B457" s="36" t="s">
        <v>3443</v>
      </c>
      <c r="C457" s="37" t="s">
        <v>2800</v>
      </c>
      <c r="D457" s="37" t="s">
        <v>2799</v>
      </c>
      <c r="E457" s="37"/>
      <c r="F457" s="37" t="s">
        <v>2800</v>
      </c>
      <c r="G457" s="37" t="s">
        <v>2799</v>
      </c>
      <c r="H457" s="35"/>
      <c r="J457" s="35"/>
      <c r="K457" s="35"/>
      <c r="L457" s="35"/>
      <c r="M457" s="35"/>
      <c r="N457" s="35"/>
      <c r="O457" s="35"/>
      <c r="P457" s="35"/>
      <c r="Q457" s="35"/>
    </row>
    <row r="458" spans="1:17">
      <c r="A458" s="36" t="s">
        <v>1442</v>
      </c>
      <c r="B458" s="36" t="s">
        <v>3444</v>
      </c>
      <c r="C458" s="37" t="s">
        <v>3387</v>
      </c>
      <c r="D458" s="37" t="s">
        <v>3388</v>
      </c>
      <c r="E458" s="37"/>
      <c r="F458" s="37" t="s">
        <v>3387</v>
      </c>
      <c r="G458" s="37" t="s">
        <v>3388</v>
      </c>
      <c r="H458" s="35"/>
      <c r="J458" s="35"/>
      <c r="K458" s="35"/>
      <c r="L458" s="35"/>
      <c r="M458" s="35"/>
      <c r="N458" s="35"/>
      <c r="O458" s="35"/>
      <c r="P458" s="35"/>
      <c r="Q458" s="35"/>
    </row>
    <row r="459" spans="1:17">
      <c r="A459" s="36" t="s">
        <v>1444</v>
      </c>
      <c r="B459" s="36" t="s">
        <v>3445</v>
      </c>
      <c r="C459" s="37" t="s">
        <v>3387</v>
      </c>
      <c r="D459" s="37" t="s">
        <v>3388</v>
      </c>
      <c r="E459" s="37"/>
      <c r="F459" s="37" t="s">
        <v>3387</v>
      </c>
      <c r="G459" s="37" t="s">
        <v>3388</v>
      </c>
      <c r="H459" s="35"/>
      <c r="J459" s="35"/>
      <c r="K459" s="35"/>
      <c r="L459" s="35"/>
      <c r="M459" s="35"/>
      <c r="N459" s="35"/>
      <c r="O459" s="35"/>
      <c r="P459" s="35"/>
      <c r="Q459" s="35"/>
    </row>
    <row r="460" spans="1:17">
      <c r="A460" s="36" t="s">
        <v>1446</v>
      </c>
      <c r="B460" s="36" t="s">
        <v>3446</v>
      </c>
      <c r="C460" s="37" t="s">
        <v>3387</v>
      </c>
      <c r="D460" s="37" t="s">
        <v>3388</v>
      </c>
      <c r="E460" s="37"/>
      <c r="F460" s="37" t="s">
        <v>3387</v>
      </c>
      <c r="G460" s="37" t="s">
        <v>3388</v>
      </c>
      <c r="H460" s="35"/>
      <c r="J460" s="35"/>
      <c r="K460" s="35"/>
      <c r="L460" s="35"/>
      <c r="M460" s="35"/>
      <c r="N460" s="35"/>
      <c r="O460" s="35"/>
      <c r="P460" s="35"/>
      <c r="Q460" s="35"/>
    </row>
    <row r="461" spans="1:17">
      <c r="A461" s="36" t="s">
        <v>1448</v>
      </c>
      <c r="B461" s="36" t="s">
        <v>3447</v>
      </c>
      <c r="C461" s="37" t="s">
        <v>3387</v>
      </c>
      <c r="D461" s="37" t="s">
        <v>3388</v>
      </c>
      <c r="E461" s="37"/>
      <c r="F461" s="37" t="s">
        <v>3387</v>
      </c>
      <c r="G461" s="37" t="s">
        <v>3388</v>
      </c>
      <c r="H461" s="35"/>
      <c r="J461" s="35"/>
      <c r="K461" s="35"/>
      <c r="L461" s="35"/>
      <c r="M461" s="35"/>
      <c r="N461" s="35"/>
      <c r="O461" s="35"/>
      <c r="P461" s="35"/>
      <c r="Q461" s="35"/>
    </row>
    <row r="462" spans="1:17">
      <c r="A462" s="36" t="s">
        <v>1450</v>
      </c>
      <c r="B462" s="36" t="s">
        <v>3448</v>
      </c>
      <c r="C462" s="37" t="s">
        <v>3387</v>
      </c>
      <c r="D462" s="37" t="s">
        <v>3388</v>
      </c>
      <c r="E462" s="37"/>
      <c r="F462" s="37" t="s">
        <v>3387</v>
      </c>
      <c r="G462" s="37" t="s">
        <v>3388</v>
      </c>
      <c r="H462" s="35"/>
      <c r="J462" s="35"/>
      <c r="K462" s="35"/>
      <c r="L462" s="35"/>
      <c r="M462" s="35"/>
      <c r="N462" s="35"/>
      <c r="O462" s="35"/>
      <c r="P462" s="35"/>
      <c r="Q462" s="35"/>
    </row>
    <row r="463" spans="1:17">
      <c r="A463" s="36" t="s">
        <v>1452</v>
      </c>
      <c r="B463" s="36" t="s">
        <v>3449</v>
      </c>
      <c r="C463" s="37" t="s">
        <v>3387</v>
      </c>
      <c r="D463" s="37" t="s">
        <v>3388</v>
      </c>
      <c r="E463" s="37"/>
      <c r="F463" s="37" t="s">
        <v>3387</v>
      </c>
      <c r="G463" s="37" t="s">
        <v>3388</v>
      </c>
      <c r="H463" s="35"/>
      <c r="J463" s="35"/>
      <c r="K463" s="35"/>
      <c r="L463" s="35"/>
      <c r="M463" s="35"/>
      <c r="N463" s="35"/>
      <c r="O463" s="35"/>
      <c r="P463" s="35"/>
      <c r="Q463" s="35"/>
    </row>
    <row r="464" spans="1:17">
      <c r="A464" s="36" t="s">
        <v>1454</v>
      </c>
      <c r="B464" s="36" t="s">
        <v>3450</v>
      </c>
      <c r="C464" s="37" t="s">
        <v>3387</v>
      </c>
      <c r="D464" s="37" t="s">
        <v>3388</v>
      </c>
      <c r="E464" s="37"/>
      <c r="F464" s="37" t="s">
        <v>3387</v>
      </c>
      <c r="G464" s="37" t="s">
        <v>3388</v>
      </c>
      <c r="H464" s="35"/>
      <c r="J464" s="35"/>
      <c r="K464" s="35"/>
      <c r="L464" s="35"/>
      <c r="M464" s="35"/>
      <c r="N464" s="35"/>
      <c r="O464" s="35"/>
      <c r="P464" s="35"/>
      <c r="Q464" s="35"/>
    </row>
    <row r="465" spans="1:17">
      <c r="A465" s="36" t="s">
        <v>1456</v>
      </c>
      <c r="B465" s="36" t="s">
        <v>3451</v>
      </c>
      <c r="C465" s="37" t="s">
        <v>3387</v>
      </c>
      <c r="D465" s="37" t="s">
        <v>3388</v>
      </c>
      <c r="E465" s="37"/>
      <c r="F465" s="37" t="s">
        <v>3387</v>
      </c>
      <c r="G465" s="37" t="s">
        <v>3388</v>
      </c>
      <c r="H465" s="35"/>
      <c r="J465" s="35"/>
      <c r="K465" s="35"/>
      <c r="L465" s="35"/>
      <c r="M465" s="35"/>
      <c r="N465" s="35"/>
      <c r="O465" s="35"/>
      <c r="P465" s="35"/>
      <c r="Q465" s="35"/>
    </row>
    <row r="466" spans="1:17">
      <c r="A466" s="36" t="s">
        <v>1458</v>
      </c>
      <c r="B466" s="36" t="s">
        <v>3452</v>
      </c>
      <c r="C466" s="37" t="s">
        <v>3387</v>
      </c>
      <c r="D466" s="37" t="s">
        <v>3388</v>
      </c>
      <c r="E466" s="37"/>
      <c r="F466" s="37" t="s">
        <v>3387</v>
      </c>
      <c r="G466" s="37" t="s">
        <v>3388</v>
      </c>
      <c r="H466" s="35"/>
      <c r="J466" s="35"/>
      <c r="K466" s="35"/>
      <c r="L466" s="35"/>
      <c r="M466" s="35"/>
      <c r="N466" s="35"/>
      <c r="O466" s="35"/>
      <c r="P466" s="35"/>
      <c r="Q466" s="35"/>
    </row>
    <row r="467" spans="1:17">
      <c r="A467" s="36" t="s">
        <v>3453</v>
      </c>
      <c r="B467" s="36" t="s">
        <v>3454</v>
      </c>
      <c r="C467" s="37"/>
      <c r="D467" s="37"/>
      <c r="E467" s="37"/>
      <c r="F467" s="37"/>
      <c r="G467" s="37"/>
      <c r="H467" s="35"/>
      <c r="J467" s="35"/>
      <c r="K467" s="35"/>
      <c r="L467" s="35"/>
      <c r="M467" s="35"/>
      <c r="N467" s="35"/>
      <c r="O467" s="35"/>
      <c r="P467" s="35"/>
      <c r="Q467" s="35"/>
    </row>
    <row r="468" spans="1:17">
      <c r="A468" s="36" t="s">
        <v>1460</v>
      </c>
      <c r="B468" s="36" t="s">
        <v>3455</v>
      </c>
      <c r="C468" s="37" t="s">
        <v>3456</v>
      </c>
      <c r="D468" s="37" t="s">
        <v>3457</v>
      </c>
      <c r="E468" s="37"/>
      <c r="F468" s="37" t="s">
        <v>3456</v>
      </c>
      <c r="G468" s="37" t="s">
        <v>3457</v>
      </c>
      <c r="H468" s="35"/>
      <c r="J468" s="35"/>
      <c r="K468" s="35"/>
      <c r="L468" s="35"/>
      <c r="M468" s="35"/>
      <c r="N468" s="35"/>
      <c r="O468" s="35"/>
      <c r="P468" s="35"/>
      <c r="Q468" s="35"/>
    </row>
    <row r="469" spans="1:17">
      <c r="A469" s="36" t="s">
        <v>1462</v>
      </c>
      <c r="B469" s="36" t="s">
        <v>3458</v>
      </c>
      <c r="C469" s="37" t="s">
        <v>3456</v>
      </c>
      <c r="D469" s="37" t="s">
        <v>3457</v>
      </c>
      <c r="E469" s="37"/>
      <c r="F469" s="37" t="s">
        <v>3456</v>
      </c>
      <c r="G469" s="37" t="s">
        <v>3457</v>
      </c>
      <c r="H469" s="35"/>
      <c r="J469" s="35"/>
      <c r="K469" s="35"/>
      <c r="L469" s="35"/>
      <c r="M469" s="35"/>
      <c r="N469" s="35"/>
      <c r="O469" s="35"/>
      <c r="P469" s="35"/>
      <c r="Q469" s="35"/>
    </row>
    <row r="470" spans="1:17">
      <c r="A470" s="36" t="s">
        <v>1464</v>
      </c>
      <c r="B470" s="36" t="s">
        <v>3459</v>
      </c>
      <c r="C470" s="37" t="s">
        <v>3456</v>
      </c>
      <c r="D470" s="37" t="s">
        <v>3457</v>
      </c>
      <c r="E470" s="37"/>
      <c r="F470" s="37" t="s">
        <v>3456</v>
      </c>
      <c r="G470" s="37" t="s">
        <v>3457</v>
      </c>
      <c r="H470" s="35"/>
      <c r="J470" s="35"/>
      <c r="K470" s="35"/>
      <c r="L470" s="35"/>
      <c r="M470" s="35"/>
      <c r="N470" s="35"/>
      <c r="O470" s="35"/>
      <c r="P470" s="35"/>
      <c r="Q470" s="35"/>
    </row>
    <row r="471" spans="1:17">
      <c r="A471" s="36" t="s">
        <v>1466</v>
      </c>
      <c r="B471" s="36" t="s">
        <v>3460</v>
      </c>
      <c r="C471" s="37" t="s">
        <v>3456</v>
      </c>
      <c r="D471" s="37" t="s">
        <v>3457</v>
      </c>
      <c r="E471" s="37"/>
      <c r="F471" s="37" t="s">
        <v>3456</v>
      </c>
      <c r="G471" s="37" t="s">
        <v>3457</v>
      </c>
      <c r="H471" s="35"/>
      <c r="J471" s="35"/>
      <c r="K471" s="35"/>
      <c r="L471" s="35"/>
      <c r="M471" s="35"/>
      <c r="N471" s="35"/>
      <c r="O471" s="35"/>
      <c r="P471" s="35"/>
      <c r="Q471" s="35"/>
    </row>
    <row r="472" spans="1:17">
      <c r="A472" s="36" t="s">
        <v>1468</v>
      </c>
      <c r="B472" s="36" t="s">
        <v>3461</v>
      </c>
      <c r="C472" s="37" t="s">
        <v>3456</v>
      </c>
      <c r="D472" s="37" t="s">
        <v>3457</v>
      </c>
      <c r="E472" s="37"/>
      <c r="F472" s="37" t="s">
        <v>3456</v>
      </c>
      <c r="G472" s="37" t="s">
        <v>3457</v>
      </c>
      <c r="H472" s="35"/>
      <c r="J472" s="35"/>
      <c r="K472" s="35"/>
      <c r="L472" s="35"/>
      <c r="M472" s="35"/>
      <c r="N472" s="35"/>
      <c r="O472" s="35"/>
      <c r="P472" s="35"/>
      <c r="Q472" s="35"/>
    </row>
    <row r="473" spans="1:17">
      <c r="A473" s="36" t="s">
        <v>1470</v>
      </c>
      <c r="B473" s="36" t="s">
        <v>3462</v>
      </c>
      <c r="C473" s="37" t="s">
        <v>3456</v>
      </c>
      <c r="D473" s="37" t="s">
        <v>3457</v>
      </c>
      <c r="E473" s="37"/>
      <c r="F473" s="37" t="s">
        <v>3456</v>
      </c>
      <c r="G473" s="37" t="s">
        <v>3457</v>
      </c>
      <c r="H473" s="35"/>
      <c r="J473" s="35"/>
      <c r="K473" s="35"/>
      <c r="L473" s="35"/>
      <c r="M473" s="35"/>
      <c r="N473" s="35"/>
      <c r="O473" s="35"/>
      <c r="P473" s="35"/>
      <c r="Q473" s="35"/>
    </row>
    <row r="474" spans="1:17">
      <c r="A474" s="36" t="s">
        <v>1472</v>
      </c>
      <c r="B474" s="36" t="s">
        <v>3463</v>
      </c>
      <c r="C474" s="37" t="s">
        <v>3456</v>
      </c>
      <c r="D474" s="37" t="s">
        <v>3457</v>
      </c>
      <c r="E474" s="37"/>
      <c r="F474" s="37" t="s">
        <v>3456</v>
      </c>
      <c r="G474" s="37" t="s">
        <v>3457</v>
      </c>
      <c r="H474" s="35"/>
      <c r="J474" s="35"/>
      <c r="K474" s="35"/>
      <c r="L474" s="35"/>
      <c r="M474" s="35"/>
      <c r="N474" s="35"/>
      <c r="O474" s="35"/>
      <c r="P474" s="35"/>
      <c r="Q474" s="35"/>
    </row>
    <row r="475" spans="1:17">
      <c r="A475" s="36" t="s">
        <v>1474</v>
      </c>
      <c r="B475" s="36" t="s">
        <v>3464</v>
      </c>
      <c r="C475" s="37" t="s">
        <v>3456</v>
      </c>
      <c r="D475" s="37" t="s">
        <v>3457</v>
      </c>
      <c r="E475" s="37"/>
      <c r="F475" s="37" t="s">
        <v>3456</v>
      </c>
      <c r="G475" s="37" t="s">
        <v>3457</v>
      </c>
      <c r="H475" s="35"/>
      <c r="J475" s="35"/>
      <c r="K475" s="35"/>
      <c r="L475" s="35"/>
      <c r="M475" s="35"/>
      <c r="N475" s="35"/>
      <c r="O475" s="35"/>
      <c r="P475" s="35"/>
      <c r="Q475" s="35"/>
    </row>
    <row r="476" spans="1:17">
      <c r="A476" s="36" t="s">
        <v>1476</v>
      </c>
      <c r="B476" s="36" t="s">
        <v>3465</v>
      </c>
      <c r="C476" s="37" t="s">
        <v>3456</v>
      </c>
      <c r="D476" s="37" t="s">
        <v>3457</v>
      </c>
      <c r="E476" s="37"/>
      <c r="F476" s="37" t="s">
        <v>3456</v>
      </c>
      <c r="G476" s="37" t="s">
        <v>3457</v>
      </c>
      <c r="H476" s="35"/>
      <c r="J476" s="35"/>
      <c r="K476" s="35"/>
      <c r="L476" s="35"/>
      <c r="M476" s="35"/>
      <c r="N476" s="35"/>
      <c r="O476" s="35"/>
      <c r="P476" s="35"/>
      <c r="Q476" s="35"/>
    </row>
    <row r="477" spans="1:17">
      <c r="A477" s="36" t="s">
        <v>1478</v>
      </c>
      <c r="B477" s="36" t="s">
        <v>3466</v>
      </c>
      <c r="C477" s="37" t="s">
        <v>3456</v>
      </c>
      <c r="D477" s="37" t="s">
        <v>3457</v>
      </c>
      <c r="E477" s="37"/>
      <c r="F477" s="37" t="s">
        <v>3456</v>
      </c>
      <c r="G477" s="37" t="s">
        <v>3457</v>
      </c>
      <c r="H477" s="35"/>
      <c r="J477" s="35"/>
      <c r="K477" s="35"/>
      <c r="L477" s="35"/>
      <c r="M477" s="35"/>
      <c r="N477" s="35"/>
      <c r="O477" s="35"/>
      <c r="P477" s="35"/>
      <c r="Q477" s="35"/>
    </row>
    <row r="478" spans="1:17">
      <c r="A478" s="36" t="s">
        <v>1480</v>
      </c>
      <c r="B478" s="36" t="s">
        <v>3467</v>
      </c>
      <c r="C478" s="37" t="s">
        <v>3456</v>
      </c>
      <c r="D478" s="37" t="s">
        <v>3457</v>
      </c>
      <c r="E478" s="37"/>
      <c r="F478" s="37" t="s">
        <v>3456</v>
      </c>
      <c r="G478" s="37" t="s">
        <v>3457</v>
      </c>
      <c r="H478" s="35"/>
      <c r="J478" s="35"/>
      <c r="K478" s="35"/>
      <c r="L478" s="35"/>
      <c r="M478" s="35"/>
      <c r="N478" s="35"/>
      <c r="O478" s="35"/>
      <c r="P478" s="35"/>
      <c r="Q478" s="35"/>
    </row>
    <row r="479" spans="1:17">
      <c r="A479" s="36" t="s">
        <v>1482</v>
      </c>
      <c r="B479" s="36" t="s">
        <v>3468</v>
      </c>
      <c r="C479" s="37" t="s">
        <v>3456</v>
      </c>
      <c r="D479" s="37" t="s">
        <v>3457</v>
      </c>
      <c r="E479" s="37"/>
      <c r="F479" s="37" t="s">
        <v>3456</v>
      </c>
      <c r="G479" s="37" t="s">
        <v>3457</v>
      </c>
      <c r="H479" s="35"/>
      <c r="J479" s="35"/>
      <c r="K479" s="35"/>
      <c r="L479" s="35"/>
      <c r="M479" s="35"/>
      <c r="N479" s="35"/>
      <c r="O479" s="35"/>
      <c r="P479" s="35"/>
      <c r="Q479" s="35"/>
    </row>
    <row r="480" spans="1:17">
      <c r="A480" s="36" t="s">
        <v>1484</v>
      </c>
      <c r="B480" s="36" t="s">
        <v>3469</v>
      </c>
      <c r="C480" s="37" t="s">
        <v>3456</v>
      </c>
      <c r="D480" s="37" t="s">
        <v>3457</v>
      </c>
      <c r="E480" s="37"/>
      <c r="F480" s="37" t="s">
        <v>3456</v>
      </c>
      <c r="G480" s="37" t="s">
        <v>3457</v>
      </c>
      <c r="H480" s="35"/>
      <c r="J480" s="35"/>
      <c r="K480" s="35"/>
      <c r="L480" s="35"/>
      <c r="M480" s="35"/>
      <c r="N480" s="35"/>
      <c r="O480" s="35"/>
      <c r="P480" s="35"/>
      <c r="Q480" s="35"/>
    </row>
    <row r="481" spans="1:17">
      <c r="A481" s="36" t="s">
        <v>1486</v>
      </c>
      <c r="B481" s="36" t="s">
        <v>3470</v>
      </c>
      <c r="C481" s="37" t="s">
        <v>3456</v>
      </c>
      <c r="D481" s="37" t="s">
        <v>3457</v>
      </c>
      <c r="E481" s="37"/>
      <c r="F481" s="37" t="s">
        <v>3456</v>
      </c>
      <c r="G481" s="37" t="s">
        <v>3457</v>
      </c>
      <c r="H481" s="35"/>
      <c r="J481" s="35"/>
      <c r="K481" s="35"/>
      <c r="L481" s="35"/>
      <c r="M481" s="35"/>
      <c r="N481" s="35"/>
      <c r="O481" s="35"/>
      <c r="P481" s="35"/>
      <c r="Q481" s="35"/>
    </row>
    <row r="482" spans="1:17">
      <c r="A482" s="36" t="s">
        <v>1488</v>
      </c>
      <c r="B482" s="36" t="s">
        <v>3471</v>
      </c>
      <c r="C482" s="37" t="s">
        <v>3456</v>
      </c>
      <c r="D482" s="37" t="s">
        <v>3457</v>
      </c>
      <c r="E482" s="37"/>
      <c r="F482" s="37" t="s">
        <v>3456</v>
      </c>
      <c r="G482" s="37" t="s">
        <v>3457</v>
      </c>
      <c r="H482" s="35"/>
      <c r="J482" s="35"/>
      <c r="K482" s="35"/>
      <c r="L482" s="35"/>
      <c r="M482" s="35"/>
      <c r="N482" s="35"/>
      <c r="O482" s="35"/>
      <c r="P482" s="35"/>
      <c r="Q482" s="35"/>
    </row>
    <row r="483" spans="1:17">
      <c r="A483" s="36" t="s">
        <v>1490</v>
      </c>
      <c r="B483" s="36" t="s">
        <v>3472</v>
      </c>
      <c r="C483" s="37" t="s">
        <v>3456</v>
      </c>
      <c r="D483" s="37" t="s">
        <v>3457</v>
      </c>
      <c r="E483" s="37"/>
      <c r="F483" s="37" t="s">
        <v>3456</v>
      </c>
      <c r="G483" s="37" t="s">
        <v>3457</v>
      </c>
      <c r="H483" s="35"/>
      <c r="J483" s="35"/>
      <c r="K483" s="35"/>
      <c r="L483" s="35"/>
      <c r="M483" s="35"/>
      <c r="N483" s="35"/>
      <c r="O483" s="35"/>
      <c r="P483" s="35"/>
      <c r="Q483" s="35"/>
    </row>
    <row r="484" spans="1:17">
      <c r="A484" s="36" t="s">
        <v>1492</v>
      </c>
      <c r="B484" s="36" t="s">
        <v>3473</v>
      </c>
      <c r="C484" s="37" t="s">
        <v>3456</v>
      </c>
      <c r="D484" s="37" t="s">
        <v>3457</v>
      </c>
      <c r="E484" s="37"/>
      <c r="F484" s="37" t="s">
        <v>3456</v>
      </c>
      <c r="G484" s="37" t="s">
        <v>3457</v>
      </c>
      <c r="H484" s="35"/>
      <c r="J484" s="35"/>
      <c r="K484" s="35"/>
      <c r="L484" s="35"/>
      <c r="M484" s="35"/>
      <c r="N484" s="35"/>
      <c r="O484" s="35"/>
      <c r="P484" s="35"/>
      <c r="Q484" s="35"/>
    </row>
    <row r="485" spans="1:17">
      <c r="A485" s="36" t="s">
        <v>1494</v>
      </c>
      <c r="B485" s="36" t="s">
        <v>3474</v>
      </c>
      <c r="C485" s="37" t="s">
        <v>3456</v>
      </c>
      <c r="D485" s="37" t="s">
        <v>3457</v>
      </c>
      <c r="E485" s="37"/>
      <c r="F485" s="37" t="s">
        <v>3456</v>
      </c>
      <c r="G485" s="37" t="s">
        <v>3457</v>
      </c>
      <c r="H485" s="35"/>
      <c r="J485" s="35"/>
      <c r="K485" s="35"/>
      <c r="L485" s="35"/>
      <c r="M485" s="35"/>
      <c r="N485" s="35"/>
      <c r="O485" s="35"/>
      <c r="P485" s="35"/>
      <c r="Q485" s="35"/>
    </row>
    <row r="486" spans="1:17">
      <c r="A486" s="36" t="s">
        <v>1496</v>
      </c>
      <c r="B486" s="36" t="s">
        <v>3475</v>
      </c>
      <c r="C486" s="37" t="s">
        <v>3456</v>
      </c>
      <c r="D486" s="37" t="s">
        <v>3457</v>
      </c>
      <c r="E486" s="37"/>
      <c r="F486" s="37" t="s">
        <v>3456</v>
      </c>
      <c r="G486" s="37" t="s">
        <v>3457</v>
      </c>
      <c r="H486" s="35"/>
      <c r="J486" s="35"/>
      <c r="K486" s="35"/>
      <c r="L486" s="35"/>
      <c r="M486" s="35"/>
      <c r="N486" s="35"/>
      <c r="O486" s="35"/>
      <c r="P486" s="35"/>
      <c r="Q486" s="35"/>
    </row>
    <row r="487" spans="1:17">
      <c r="A487" s="36" t="s">
        <v>1498</v>
      </c>
      <c r="B487" s="36" t="s">
        <v>3476</v>
      </c>
      <c r="C487" s="37" t="s">
        <v>3456</v>
      </c>
      <c r="D487" s="37" t="s">
        <v>3457</v>
      </c>
      <c r="E487" s="37"/>
      <c r="F487" s="37" t="s">
        <v>3456</v>
      </c>
      <c r="G487" s="37" t="s">
        <v>3457</v>
      </c>
      <c r="H487" s="35"/>
      <c r="J487" s="35"/>
      <c r="K487" s="35"/>
      <c r="L487" s="35"/>
      <c r="M487" s="35"/>
      <c r="N487" s="35"/>
      <c r="O487" s="35"/>
      <c r="P487" s="35"/>
      <c r="Q487" s="35"/>
    </row>
    <row r="488" spans="1:17">
      <c r="A488" s="36" t="s">
        <v>1500</v>
      </c>
      <c r="B488" s="36" t="s">
        <v>3477</v>
      </c>
      <c r="C488" s="37" t="s">
        <v>3456</v>
      </c>
      <c r="D488" s="37" t="s">
        <v>3457</v>
      </c>
      <c r="E488" s="37"/>
      <c r="F488" s="37" t="s">
        <v>3456</v>
      </c>
      <c r="G488" s="37" t="s">
        <v>3457</v>
      </c>
      <c r="H488" s="35"/>
      <c r="J488" s="35"/>
      <c r="K488" s="35"/>
      <c r="L488" s="35"/>
      <c r="M488" s="35"/>
      <c r="N488" s="35"/>
      <c r="O488" s="35"/>
      <c r="P488" s="35"/>
      <c r="Q488" s="35"/>
    </row>
    <row r="489" spans="1:17">
      <c r="A489" s="36" t="s">
        <v>1502</v>
      </c>
      <c r="B489" s="36" t="s">
        <v>3478</v>
      </c>
      <c r="C489" s="37" t="s">
        <v>3456</v>
      </c>
      <c r="D489" s="37" t="s">
        <v>3457</v>
      </c>
      <c r="E489" s="37"/>
      <c r="F489" s="37" t="s">
        <v>3456</v>
      </c>
      <c r="G489" s="37" t="s">
        <v>3457</v>
      </c>
      <c r="H489" s="35"/>
      <c r="J489" s="35"/>
      <c r="K489" s="35"/>
      <c r="L489" s="35"/>
      <c r="M489" s="35"/>
      <c r="N489" s="35"/>
      <c r="O489" s="35"/>
      <c r="P489" s="35"/>
      <c r="Q489" s="35"/>
    </row>
    <row r="490" spans="1:17">
      <c r="A490" s="36" t="s">
        <v>1504</v>
      </c>
      <c r="B490" s="36" t="s">
        <v>3479</v>
      </c>
      <c r="C490" s="37" t="s">
        <v>3456</v>
      </c>
      <c r="D490" s="37" t="s">
        <v>3457</v>
      </c>
      <c r="E490" s="37"/>
      <c r="F490" s="37" t="s">
        <v>3456</v>
      </c>
      <c r="G490" s="37" t="s">
        <v>3457</v>
      </c>
      <c r="H490" s="35"/>
      <c r="J490" s="35"/>
      <c r="K490" s="35"/>
      <c r="L490" s="35"/>
      <c r="M490" s="35"/>
      <c r="N490" s="35"/>
      <c r="O490" s="35"/>
      <c r="P490" s="35"/>
      <c r="Q490" s="35"/>
    </row>
    <row r="491" spans="1:17">
      <c r="A491" s="36" t="s">
        <v>1506</v>
      </c>
      <c r="B491" s="36" t="s">
        <v>3480</v>
      </c>
      <c r="C491" s="37" t="s">
        <v>3456</v>
      </c>
      <c r="D491" s="37" t="s">
        <v>3457</v>
      </c>
      <c r="E491" s="37"/>
      <c r="F491" s="37" t="s">
        <v>3456</v>
      </c>
      <c r="G491" s="37" t="s">
        <v>3457</v>
      </c>
      <c r="H491" s="35"/>
      <c r="J491" s="35"/>
      <c r="K491" s="35"/>
      <c r="L491" s="35"/>
      <c r="M491" s="35"/>
      <c r="N491" s="35"/>
      <c r="O491" s="35"/>
      <c r="P491" s="35"/>
      <c r="Q491" s="35"/>
    </row>
    <row r="492" spans="1:17">
      <c r="A492" s="36" t="s">
        <v>1508</v>
      </c>
      <c r="B492" s="36" t="s">
        <v>3481</v>
      </c>
      <c r="C492" s="37" t="s">
        <v>3456</v>
      </c>
      <c r="D492" s="37" t="s">
        <v>3457</v>
      </c>
      <c r="E492" s="37"/>
      <c r="F492" s="37" t="s">
        <v>3456</v>
      </c>
      <c r="G492" s="37" t="s">
        <v>3457</v>
      </c>
      <c r="H492" s="35"/>
      <c r="J492" s="35"/>
      <c r="K492" s="35"/>
      <c r="L492" s="35"/>
      <c r="M492" s="35"/>
      <c r="N492" s="35"/>
      <c r="O492" s="35"/>
      <c r="P492" s="35"/>
      <c r="Q492" s="35"/>
    </row>
    <row r="493" spans="1:17">
      <c r="A493" s="36" t="s">
        <v>1510</v>
      </c>
      <c r="B493" s="36" t="s">
        <v>3482</v>
      </c>
      <c r="C493" s="37" t="s">
        <v>3456</v>
      </c>
      <c r="D493" s="37" t="s">
        <v>3457</v>
      </c>
      <c r="E493" s="37"/>
      <c r="F493" s="37" t="s">
        <v>3456</v>
      </c>
      <c r="G493" s="37" t="s">
        <v>3457</v>
      </c>
      <c r="H493" s="35"/>
      <c r="J493" s="35"/>
      <c r="K493" s="35"/>
      <c r="L493" s="35"/>
      <c r="M493" s="35"/>
      <c r="N493" s="35"/>
      <c r="O493" s="35"/>
      <c r="P493" s="35"/>
      <c r="Q493" s="35"/>
    </row>
    <row r="494" spans="1:17">
      <c r="A494" s="36" t="s">
        <v>1512</v>
      </c>
      <c r="B494" s="36" t="s">
        <v>3483</v>
      </c>
      <c r="C494" s="37" t="s">
        <v>3456</v>
      </c>
      <c r="D494" s="37" t="s">
        <v>3457</v>
      </c>
      <c r="E494" s="37"/>
      <c r="F494" s="37" t="s">
        <v>3456</v>
      </c>
      <c r="G494" s="37" t="s">
        <v>3457</v>
      </c>
      <c r="H494" s="35"/>
      <c r="J494" s="35"/>
      <c r="K494" s="35"/>
      <c r="L494" s="35"/>
      <c r="M494" s="35"/>
      <c r="N494" s="35"/>
      <c r="O494" s="35"/>
      <c r="P494" s="35"/>
      <c r="Q494" s="35"/>
    </row>
    <row r="495" spans="1:17">
      <c r="A495" s="36" t="s">
        <v>1514</v>
      </c>
      <c r="B495" s="36" t="s">
        <v>3484</v>
      </c>
      <c r="C495" s="37" t="s">
        <v>3456</v>
      </c>
      <c r="D495" s="37" t="s">
        <v>3457</v>
      </c>
      <c r="E495" s="37"/>
      <c r="F495" s="37" t="s">
        <v>3456</v>
      </c>
      <c r="G495" s="37" t="s">
        <v>3457</v>
      </c>
      <c r="H495" s="35"/>
      <c r="J495" s="35"/>
      <c r="K495" s="35"/>
      <c r="L495" s="35"/>
      <c r="M495" s="35"/>
      <c r="N495" s="35"/>
      <c r="O495" s="35"/>
      <c r="P495" s="35"/>
      <c r="Q495" s="35"/>
    </row>
    <row r="496" spans="1:17">
      <c r="A496" s="36" t="s">
        <v>1516</v>
      </c>
      <c r="B496" s="36" t="s">
        <v>3485</v>
      </c>
      <c r="C496" s="37" t="s">
        <v>3456</v>
      </c>
      <c r="D496" s="37" t="s">
        <v>3457</v>
      </c>
      <c r="E496" s="37"/>
      <c r="F496" s="37" t="s">
        <v>3456</v>
      </c>
      <c r="G496" s="37" t="s">
        <v>3457</v>
      </c>
      <c r="H496" s="35"/>
      <c r="J496" s="35"/>
      <c r="K496" s="35"/>
      <c r="L496" s="35"/>
      <c r="M496" s="35"/>
      <c r="N496" s="35"/>
      <c r="O496" s="35"/>
      <c r="P496" s="35"/>
      <c r="Q496" s="35"/>
    </row>
    <row r="497" spans="1:17">
      <c r="A497" s="36" t="s">
        <v>1518</v>
      </c>
      <c r="B497" s="36" t="s">
        <v>3486</v>
      </c>
      <c r="C497" s="37" t="s">
        <v>3456</v>
      </c>
      <c r="D497" s="37" t="s">
        <v>3457</v>
      </c>
      <c r="E497" s="37"/>
      <c r="F497" s="37" t="s">
        <v>3456</v>
      </c>
      <c r="G497" s="37" t="s">
        <v>3457</v>
      </c>
      <c r="H497" s="35"/>
      <c r="J497" s="35"/>
      <c r="K497" s="35"/>
      <c r="L497" s="35"/>
      <c r="M497" s="35"/>
      <c r="N497" s="35"/>
      <c r="O497" s="35"/>
      <c r="P497" s="35"/>
      <c r="Q497" s="35"/>
    </row>
    <row r="498" spans="1:17">
      <c r="A498" s="36" t="s">
        <v>1520</v>
      </c>
      <c r="B498" s="36" t="s">
        <v>3487</v>
      </c>
      <c r="C498" s="37" t="s">
        <v>3456</v>
      </c>
      <c r="D498" s="37" t="s">
        <v>3457</v>
      </c>
      <c r="E498" s="37"/>
      <c r="F498" s="37" t="s">
        <v>3456</v>
      </c>
      <c r="G498" s="37" t="s">
        <v>3457</v>
      </c>
      <c r="H498" s="35"/>
      <c r="J498" s="35"/>
      <c r="K498" s="35"/>
      <c r="L498" s="35"/>
      <c r="M498" s="35"/>
      <c r="N498" s="35"/>
      <c r="O498" s="35"/>
      <c r="P498" s="35"/>
      <c r="Q498" s="35"/>
    </row>
    <row r="499" spans="1:17">
      <c r="A499" s="36" t="s">
        <v>1522</v>
      </c>
      <c r="B499" s="36" t="s">
        <v>3488</v>
      </c>
      <c r="C499" s="37" t="s">
        <v>3456</v>
      </c>
      <c r="D499" s="37" t="s">
        <v>3457</v>
      </c>
      <c r="E499" s="37"/>
      <c r="F499" s="37" t="s">
        <v>3456</v>
      </c>
      <c r="G499" s="37" t="s">
        <v>3457</v>
      </c>
      <c r="H499" s="35"/>
      <c r="J499" s="35"/>
      <c r="K499" s="35"/>
      <c r="L499" s="35"/>
      <c r="M499" s="35"/>
      <c r="N499" s="35"/>
      <c r="O499" s="35"/>
      <c r="P499" s="35"/>
      <c r="Q499" s="35"/>
    </row>
    <row r="500" spans="1:17">
      <c r="A500" s="36" t="s">
        <v>1524</v>
      </c>
      <c r="B500" s="36" t="s">
        <v>3489</v>
      </c>
      <c r="C500" s="37" t="s">
        <v>3456</v>
      </c>
      <c r="D500" s="37" t="s">
        <v>3457</v>
      </c>
      <c r="E500" s="37"/>
      <c r="F500" s="37" t="s">
        <v>3456</v>
      </c>
      <c r="G500" s="37" t="s">
        <v>3457</v>
      </c>
      <c r="H500" s="35"/>
      <c r="J500" s="35"/>
      <c r="K500" s="35"/>
      <c r="L500" s="35"/>
      <c r="M500" s="35"/>
      <c r="N500" s="35"/>
      <c r="O500" s="35"/>
      <c r="P500" s="35"/>
      <c r="Q500" s="35"/>
    </row>
    <row r="501" spans="1:17">
      <c r="A501" s="36" t="s">
        <v>1526</v>
      </c>
      <c r="B501" s="36" t="s">
        <v>3490</v>
      </c>
      <c r="C501" s="37" t="s">
        <v>3456</v>
      </c>
      <c r="D501" s="37" t="s">
        <v>3457</v>
      </c>
      <c r="E501" s="37"/>
      <c r="F501" s="37" t="s">
        <v>3456</v>
      </c>
      <c r="G501" s="37" t="s">
        <v>3457</v>
      </c>
      <c r="H501" s="35"/>
      <c r="J501" s="35"/>
      <c r="K501" s="35"/>
      <c r="L501" s="35"/>
      <c r="M501" s="35"/>
      <c r="N501" s="35"/>
      <c r="O501" s="35"/>
      <c r="P501" s="35"/>
      <c r="Q501" s="35"/>
    </row>
    <row r="502" spans="1:17">
      <c r="A502" s="36" t="s">
        <v>1528</v>
      </c>
      <c r="B502" s="36" t="s">
        <v>3491</v>
      </c>
      <c r="C502" s="37" t="s">
        <v>3456</v>
      </c>
      <c r="D502" s="37" t="s">
        <v>3457</v>
      </c>
      <c r="E502" s="37"/>
      <c r="F502" s="37" t="s">
        <v>3456</v>
      </c>
      <c r="G502" s="37" t="s">
        <v>3457</v>
      </c>
      <c r="H502" s="35"/>
      <c r="J502" s="35"/>
      <c r="K502" s="35"/>
      <c r="L502" s="35"/>
      <c r="M502" s="35"/>
      <c r="N502" s="35"/>
      <c r="O502" s="35"/>
      <c r="P502" s="35"/>
      <c r="Q502" s="35"/>
    </row>
    <row r="503" spans="1:17">
      <c r="A503" s="36" t="s">
        <v>1530</v>
      </c>
      <c r="B503" s="36" t="s">
        <v>3492</v>
      </c>
      <c r="C503" s="37" t="s">
        <v>3493</v>
      </c>
      <c r="D503" s="37" t="s">
        <v>3494</v>
      </c>
      <c r="E503" s="37"/>
      <c r="F503" s="37" t="s">
        <v>3493</v>
      </c>
      <c r="G503" s="37" t="s">
        <v>3494</v>
      </c>
      <c r="H503" s="35"/>
      <c r="J503" s="35"/>
      <c r="K503" s="35"/>
      <c r="L503" s="35"/>
      <c r="M503" s="35"/>
      <c r="N503" s="35"/>
      <c r="O503" s="35"/>
      <c r="P503" s="35"/>
      <c r="Q503" s="35"/>
    </row>
    <row r="504" spans="1:17">
      <c r="A504" s="36" t="s">
        <v>1532</v>
      </c>
      <c r="B504" s="36" t="s">
        <v>3495</v>
      </c>
      <c r="C504" s="37" t="s">
        <v>3493</v>
      </c>
      <c r="D504" s="37" t="s">
        <v>3494</v>
      </c>
      <c r="E504" s="37"/>
      <c r="F504" s="37" t="s">
        <v>3493</v>
      </c>
      <c r="G504" s="37" t="s">
        <v>3494</v>
      </c>
      <c r="H504" s="35"/>
      <c r="J504" s="35"/>
      <c r="K504" s="35"/>
      <c r="L504" s="35"/>
      <c r="M504" s="35"/>
      <c r="N504" s="35"/>
      <c r="O504" s="35"/>
      <c r="P504" s="35"/>
      <c r="Q504" s="35"/>
    </row>
    <row r="505" spans="1:17">
      <c r="A505" s="36" t="s">
        <v>1534</v>
      </c>
      <c r="B505" s="36" t="s">
        <v>3496</v>
      </c>
      <c r="C505" s="37" t="s">
        <v>3493</v>
      </c>
      <c r="D505" s="37" t="s">
        <v>3494</v>
      </c>
      <c r="E505" s="37"/>
      <c r="F505" s="37" t="s">
        <v>3493</v>
      </c>
      <c r="G505" s="37" t="s">
        <v>3494</v>
      </c>
      <c r="H505" s="35"/>
      <c r="J505" s="35"/>
      <c r="K505" s="35"/>
      <c r="L505" s="35"/>
      <c r="M505" s="35"/>
      <c r="N505" s="35"/>
      <c r="O505" s="35"/>
      <c r="P505" s="35"/>
      <c r="Q505" s="35"/>
    </row>
    <row r="506" spans="1:17">
      <c r="A506" s="36" t="s">
        <v>1536</v>
      </c>
      <c r="B506" s="36" t="s">
        <v>3497</v>
      </c>
      <c r="C506" s="37" t="s">
        <v>3493</v>
      </c>
      <c r="D506" s="37" t="s">
        <v>3494</v>
      </c>
      <c r="E506" s="37"/>
      <c r="F506" s="37" t="s">
        <v>3493</v>
      </c>
      <c r="G506" s="37" t="s">
        <v>3494</v>
      </c>
      <c r="H506" s="35"/>
      <c r="J506" s="35"/>
      <c r="K506" s="35"/>
      <c r="L506" s="35"/>
      <c r="M506" s="35"/>
      <c r="N506" s="35"/>
      <c r="O506" s="35"/>
      <c r="P506" s="35"/>
      <c r="Q506" s="35"/>
    </row>
    <row r="507" spans="1:17">
      <c r="A507" s="36" t="s">
        <v>1538</v>
      </c>
      <c r="B507" s="36" t="s">
        <v>3498</v>
      </c>
      <c r="C507" s="37" t="s">
        <v>3456</v>
      </c>
      <c r="D507" s="37" t="s">
        <v>3457</v>
      </c>
      <c r="E507" s="37"/>
      <c r="F507" s="37" t="s">
        <v>3456</v>
      </c>
      <c r="G507" s="37" t="s">
        <v>3457</v>
      </c>
      <c r="H507" s="35"/>
      <c r="J507" s="35"/>
      <c r="K507" s="35"/>
      <c r="L507" s="35"/>
      <c r="M507" s="35"/>
      <c r="N507" s="35"/>
      <c r="O507" s="35"/>
      <c r="P507" s="35"/>
      <c r="Q507" s="35"/>
    </row>
    <row r="508" spans="1:17">
      <c r="A508" s="36" t="s">
        <v>1540</v>
      </c>
      <c r="B508" s="36" t="s">
        <v>3499</v>
      </c>
      <c r="C508" s="37" t="s">
        <v>3456</v>
      </c>
      <c r="D508" s="37" t="s">
        <v>3457</v>
      </c>
      <c r="E508" s="37"/>
      <c r="F508" s="37" t="s">
        <v>3456</v>
      </c>
      <c r="G508" s="37" t="s">
        <v>3457</v>
      </c>
      <c r="H508" s="35"/>
      <c r="J508" s="35"/>
      <c r="K508" s="35"/>
      <c r="L508" s="35"/>
      <c r="M508" s="35"/>
      <c r="N508" s="35"/>
      <c r="O508" s="35"/>
      <c r="P508" s="35"/>
      <c r="Q508" s="35"/>
    </row>
    <row r="509" spans="1:17">
      <c r="A509" s="36" t="s">
        <v>1542</v>
      </c>
      <c r="B509" s="36" t="s">
        <v>3500</v>
      </c>
      <c r="C509" s="37" t="s">
        <v>3456</v>
      </c>
      <c r="D509" s="37" t="s">
        <v>3457</v>
      </c>
      <c r="E509" s="37"/>
      <c r="F509" s="37" t="s">
        <v>3456</v>
      </c>
      <c r="G509" s="37" t="s">
        <v>3457</v>
      </c>
      <c r="H509" s="35"/>
      <c r="J509" s="35"/>
      <c r="K509" s="35"/>
      <c r="L509" s="35"/>
      <c r="M509" s="35"/>
      <c r="N509" s="35"/>
      <c r="O509" s="35"/>
      <c r="P509" s="35"/>
      <c r="Q509" s="35"/>
    </row>
    <row r="510" spans="1:17">
      <c r="A510" s="36" t="s">
        <v>1544</v>
      </c>
      <c r="B510" s="36" t="s">
        <v>3501</v>
      </c>
      <c r="C510" s="37" t="s">
        <v>3456</v>
      </c>
      <c r="D510" s="37" t="s">
        <v>3457</v>
      </c>
      <c r="E510" s="37"/>
      <c r="F510" s="37" t="s">
        <v>3456</v>
      </c>
      <c r="G510" s="37" t="s">
        <v>3457</v>
      </c>
      <c r="H510" s="35"/>
      <c r="J510" s="35"/>
      <c r="K510" s="35"/>
      <c r="L510" s="35"/>
      <c r="M510" s="35"/>
      <c r="N510" s="35"/>
      <c r="O510" s="35"/>
      <c r="P510" s="35"/>
      <c r="Q510" s="35"/>
    </row>
    <row r="511" spans="1:17">
      <c r="A511" s="36" t="s">
        <v>1546</v>
      </c>
      <c r="B511" s="36" t="s">
        <v>3502</v>
      </c>
      <c r="C511" s="37" t="s">
        <v>3456</v>
      </c>
      <c r="D511" s="37" t="s">
        <v>3457</v>
      </c>
      <c r="E511" s="37"/>
      <c r="F511" s="37" t="s">
        <v>3456</v>
      </c>
      <c r="G511" s="37" t="s">
        <v>3457</v>
      </c>
      <c r="H511" s="35"/>
      <c r="J511" s="35"/>
      <c r="K511" s="35"/>
      <c r="L511" s="35"/>
      <c r="M511" s="35"/>
      <c r="N511" s="35"/>
      <c r="O511" s="35"/>
      <c r="P511" s="35"/>
      <c r="Q511" s="35"/>
    </row>
    <row r="512" spans="1:17">
      <c r="A512" s="36" t="s">
        <v>1548</v>
      </c>
      <c r="B512" s="36" t="s">
        <v>3503</v>
      </c>
      <c r="C512" s="37" t="s">
        <v>3456</v>
      </c>
      <c r="D512" s="37" t="s">
        <v>3457</v>
      </c>
      <c r="E512" s="37"/>
      <c r="F512" s="37" t="s">
        <v>3456</v>
      </c>
      <c r="G512" s="37" t="s">
        <v>3457</v>
      </c>
      <c r="H512" s="35"/>
      <c r="J512" s="35"/>
      <c r="K512" s="35"/>
      <c r="L512" s="35"/>
      <c r="M512" s="35"/>
      <c r="N512" s="35"/>
      <c r="O512" s="35"/>
      <c r="P512" s="35"/>
      <c r="Q512" s="35"/>
    </row>
    <row r="513" spans="1:17">
      <c r="A513" s="36" t="s">
        <v>1550</v>
      </c>
      <c r="B513" s="36" t="s">
        <v>3504</v>
      </c>
      <c r="C513" s="37" t="s">
        <v>3456</v>
      </c>
      <c r="D513" s="37" t="s">
        <v>3457</v>
      </c>
      <c r="E513" s="37"/>
      <c r="F513" s="37" t="s">
        <v>3456</v>
      </c>
      <c r="G513" s="37" t="s">
        <v>3457</v>
      </c>
      <c r="H513" s="35"/>
      <c r="J513" s="35"/>
      <c r="K513" s="35"/>
      <c r="L513" s="35"/>
      <c r="M513" s="35"/>
      <c r="N513" s="35"/>
      <c r="O513" s="35"/>
      <c r="P513" s="35"/>
      <c r="Q513" s="35"/>
    </row>
    <row r="514" spans="1:17">
      <c r="A514" s="36" t="s">
        <v>1552</v>
      </c>
      <c r="B514" s="36" t="s">
        <v>3505</v>
      </c>
      <c r="C514" s="37" t="s">
        <v>3456</v>
      </c>
      <c r="D514" s="37" t="s">
        <v>3457</v>
      </c>
      <c r="E514" s="37"/>
      <c r="F514" s="37" t="s">
        <v>3456</v>
      </c>
      <c r="G514" s="37" t="s">
        <v>3457</v>
      </c>
      <c r="H514" s="35"/>
      <c r="J514" s="35"/>
      <c r="K514" s="35"/>
      <c r="L514" s="35"/>
      <c r="M514" s="35"/>
      <c r="N514" s="35"/>
      <c r="O514" s="35"/>
      <c r="P514" s="35"/>
      <c r="Q514" s="35"/>
    </row>
    <row r="515" spans="1:17">
      <c r="A515" s="36" t="s">
        <v>1554</v>
      </c>
      <c r="B515" s="36" t="s">
        <v>3506</v>
      </c>
      <c r="C515" s="37" t="s">
        <v>3456</v>
      </c>
      <c r="D515" s="37" t="s">
        <v>3457</v>
      </c>
      <c r="E515" s="37"/>
      <c r="F515" s="37" t="s">
        <v>3456</v>
      </c>
      <c r="G515" s="37" t="s">
        <v>3457</v>
      </c>
      <c r="H515" s="35"/>
      <c r="J515" s="35"/>
      <c r="K515" s="35"/>
      <c r="L515" s="35"/>
      <c r="M515" s="35"/>
      <c r="N515" s="35"/>
      <c r="O515" s="35"/>
      <c r="P515" s="35"/>
      <c r="Q515" s="35"/>
    </row>
    <row r="516" spans="1:17">
      <c r="A516" s="36" t="s">
        <v>1556</v>
      </c>
      <c r="B516" s="36" t="s">
        <v>3507</v>
      </c>
      <c r="C516" s="37" t="s">
        <v>3456</v>
      </c>
      <c r="D516" s="37" t="s">
        <v>3457</v>
      </c>
      <c r="E516" s="37"/>
      <c r="F516" s="37" t="s">
        <v>3456</v>
      </c>
      <c r="G516" s="37" t="s">
        <v>3457</v>
      </c>
      <c r="H516" s="35"/>
      <c r="J516" s="35"/>
      <c r="K516" s="35"/>
      <c r="L516" s="35"/>
      <c r="M516" s="35"/>
      <c r="N516" s="35"/>
      <c r="O516" s="35"/>
      <c r="P516" s="35"/>
      <c r="Q516" s="35"/>
    </row>
    <row r="517" spans="1:17">
      <c r="A517" s="36" t="s">
        <v>1558</v>
      </c>
      <c r="B517" s="36" t="s">
        <v>3508</v>
      </c>
      <c r="C517" s="37" t="s">
        <v>3456</v>
      </c>
      <c r="D517" s="37" t="s">
        <v>3457</v>
      </c>
      <c r="E517" s="37"/>
      <c r="F517" s="37" t="s">
        <v>3456</v>
      </c>
      <c r="G517" s="37" t="s">
        <v>3457</v>
      </c>
      <c r="H517" s="35"/>
      <c r="J517" s="35"/>
      <c r="K517" s="35"/>
      <c r="L517" s="35"/>
      <c r="M517" s="35"/>
      <c r="N517" s="35"/>
      <c r="O517" s="35"/>
      <c r="P517" s="35"/>
      <c r="Q517" s="35"/>
    </row>
    <row r="518" spans="1:17">
      <c r="A518" s="36" t="s">
        <v>1560</v>
      </c>
      <c r="B518" s="36" t="s">
        <v>3509</v>
      </c>
      <c r="C518" s="37" t="s">
        <v>3456</v>
      </c>
      <c r="D518" s="37" t="s">
        <v>3457</v>
      </c>
      <c r="E518" s="37"/>
      <c r="F518" s="37" t="s">
        <v>3456</v>
      </c>
      <c r="G518" s="37" t="s">
        <v>3457</v>
      </c>
      <c r="H518" s="35"/>
      <c r="J518" s="35"/>
      <c r="K518" s="35"/>
      <c r="L518" s="35"/>
      <c r="M518" s="35"/>
      <c r="N518" s="35"/>
      <c r="O518" s="35"/>
      <c r="P518" s="35"/>
      <c r="Q518" s="35"/>
    </row>
    <row r="519" spans="1:17">
      <c r="A519" s="36" t="s">
        <v>3510</v>
      </c>
      <c r="B519" s="36" t="s">
        <v>3511</v>
      </c>
      <c r="C519" s="37"/>
      <c r="D519" s="37"/>
      <c r="E519" s="37"/>
      <c r="F519" s="37"/>
      <c r="G519" s="37"/>
      <c r="H519" s="35"/>
      <c r="J519" s="35"/>
      <c r="K519" s="35"/>
      <c r="L519" s="35"/>
      <c r="M519" s="35"/>
      <c r="N519" s="35"/>
      <c r="O519" s="35"/>
      <c r="P519" s="35"/>
      <c r="Q519" s="35"/>
    </row>
    <row r="520" spans="1:17">
      <c r="A520" s="36" t="s">
        <v>1562</v>
      </c>
      <c r="B520" s="36" t="s">
        <v>3512</v>
      </c>
      <c r="C520" s="37" t="s">
        <v>2764</v>
      </c>
      <c r="D520" s="37" t="s">
        <v>2763</v>
      </c>
      <c r="E520" s="37"/>
      <c r="F520" s="37" t="s">
        <v>2764</v>
      </c>
      <c r="G520" s="37" t="s">
        <v>2763</v>
      </c>
      <c r="H520" s="35"/>
      <c r="J520" s="35"/>
      <c r="K520" s="35"/>
      <c r="L520" s="35"/>
      <c r="M520" s="35"/>
      <c r="N520" s="35"/>
      <c r="O520" s="35"/>
      <c r="P520" s="35"/>
      <c r="Q520" s="35"/>
    </row>
    <row r="521" spans="1:17">
      <c r="A521" s="36" t="s">
        <v>1564</v>
      </c>
      <c r="B521" s="36" t="s">
        <v>3513</v>
      </c>
      <c r="C521" s="37" t="s">
        <v>2764</v>
      </c>
      <c r="D521" s="37" t="s">
        <v>2763</v>
      </c>
      <c r="E521" s="37"/>
      <c r="F521" s="37" t="s">
        <v>2764</v>
      </c>
      <c r="G521" s="37" t="s">
        <v>2763</v>
      </c>
      <c r="H521" s="35"/>
      <c r="J521" s="35"/>
      <c r="K521" s="35"/>
      <c r="L521" s="35"/>
      <c r="M521" s="35"/>
      <c r="N521" s="35"/>
      <c r="O521" s="35"/>
      <c r="P521" s="35"/>
      <c r="Q521" s="35"/>
    </row>
    <row r="522" spans="1:17">
      <c r="A522" s="36" t="s">
        <v>1566</v>
      </c>
      <c r="B522" s="36" t="s">
        <v>3514</v>
      </c>
      <c r="C522" s="37" t="s">
        <v>2764</v>
      </c>
      <c r="D522" s="37" t="s">
        <v>2763</v>
      </c>
      <c r="E522" s="37"/>
      <c r="F522" s="37" t="s">
        <v>2764</v>
      </c>
      <c r="G522" s="37" t="s">
        <v>2763</v>
      </c>
      <c r="H522" s="35"/>
      <c r="J522" s="35"/>
      <c r="K522" s="35"/>
      <c r="L522" s="35"/>
      <c r="M522" s="35"/>
      <c r="N522" s="35"/>
      <c r="O522" s="35"/>
      <c r="P522" s="35"/>
      <c r="Q522" s="35"/>
    </row>
    <row r="523" spans="1:17">
      <c r="A523" s="36" t="s">
        <v>1568</v>
      </c>
      <c r="B523" s="36" t="s">
        <v>3515</v>
      </c>
      <c r="C523" s="37" t="s">
        <v>2764</v>
      </c>
      <c r="D523" s="37" t="s">
        <v>2763</v>
      </c>
      <c r="E523" s="37"/>
      <c r="F523" s="37" t="s">
        <v>2764</v>
      </c>
      <c r="G523" s="37" t="s">
        <v>2763</v>
      </c>
      <c r="H523" s="35"/>
      <c r="J523" s="35"/>
      <c r="K523" s="35"/>
      <c r="L523" s="35"/>
      <c r="M523" s="35"/>
      <c r="N523" s="35"/>
      <c r="O523" s="35"/>
      <c r="P523" s="35"/>
      <c r="Q523" s="35"/>
    </row>
    <row r="524" spans="1:17">
      <c r="A524" s="36" t="s">
        <v>1570</v>
      </c>
      <c r="B524" s="36" t="s">
        <v>3516</v>
      </c>
      <c r="C524" s="37" t="s">
        <v>2764</v>
      </c>
      <c r="D524" s="37" t="s">
        <v>2763</v>
      </c>
      <c r="E524" s="37"/>
      <c r="F524" s="37" t="s">
        <v>2764</v>
      </c>
      <c r="G524" s="37" t="s">
        <v>2763</v>
      </c>
      <c r="H524" s="35"/>
      <c r="J524" s="35"/>
      <c r="K524" s="35"/>
      <c r="L524" s="35"/>
      <c r="M524" s="35"/>
      <c r="N524" s="35"/>
      <c r="O524" s="35"/>
      <c r="P524" s="35"/>
      <c r="Q524" s="35"/>
    </row>
    <row r="525" spans="1:17">
      <c r="A525" s="36" t="s">
        <v>1572</v>
      </c>
      <c r="B525" s="36" t="s">
        <v>3517</v>
      </c>
      <c r="C525" s="37" t="s">
        <v>2764</v>
      </c>
      <c r="D525" s="37" t="s">
        <v>2763</v>
      </c>
      <c r="E525" s="37"/>
      <c r="F525" s="37" t="s">
        <v>2764</v>
      </c>
      <c r="G525" s="37" t="s">
        <v>2763</v>
      </c>
      <c r="H525" s="35"/>
      <c r="J525" s="35"/>
      <c r="K525" s="35"/>
      <c r="L525" s="35"/>
      <c r="M525" s="35"/>
      <c r="N525" s="35"/>
      <c r="O525" s="35"/>
      <c r="P525" s="35"/>
      <c r="Q525" s="35"/>
    </row>
    <row r="526" spans="1:17">
      <c r="A526" s="36" t="s">
        <v>1574</v>
      </c>
      <c r="B526" s="36" t="s">
        <v>3518</v>
      </c>
      <c r="C526" s="37" t="s">
        <v>2764</v>
      </c>
      <c r="D526" s="37" t="s">
        <v>2763</v>
      </c>
      <c r="E526" s="37"/>
      <c r="F526" s="37" t="s">
        <v>2764</v>
      </c>
      <c r="G526" s="37" t="s">
        <v>2763</v>
      </c>
      <c r="H526" s="35"/>
      <c r="J526" s="35"/>
      <c r="K526" s="35"/>
      <c r="L526" s="35"/>
      <c r="M526" s="35"/>
      <c r="N526" s="35"/>
      <c r="O526" s="35"/>
      <c r="P526" s="35"/>
      <c r="Q526" s="35"/>
    </row>
    <row r="527" spans="1:17">
      <c r="A527" s="36" t="s">
        <v>1576</v>
      </c>
      <c r="B527" s="36" t="s">
        <v>3519</v>
      </c>
      <c r="C527" s="37" t="s">
        <v>2764</v>
      </c>
      <c r="D527" s="37" t="s">
        <v>2763</v>
      </c>
      <c r="E527" s="37"/>
      <c r="F527" s="37" t="s">
        <v>2764</v>
      </c>
      <c r="G527" s="37" t="s">
        <v>2763</v>
      </c>
      <c r="H527" s="35"/>
      <c r="J527" s="35"/>
      <c r="K527" s="35"/>
      <c r="L527" s="35"/>
      <c r="M527" s="35"/>
      <c r="N527" s="35"/>
      <c r="O527" s="35"/>
      <c r="P527" s="35"/>
      <c r="Q527" s="35"/>
    </row>
    <row r="528" spans="1:17">
      <c r="A528" s="36" t="s">
        <v>1578</v>
      </c>
      <c r="B528" s="36" t="s">
        <v>3520</v>
      </c>
      <c r="C528" s="37" t="s">
        <v>2764</v>
      </c>
      <c r="D528" s="37" t="s">
        <v>2763</v>
      </c>
      <c r="E528" s="37"/>
      <c r="F528" s="37" t="s">
        <v>2764</v>
      </c>
      <c r="G528" s="37" t="s">
        <v>2763</v>
      </c>
      <c r="H528" s="35"/>
      <c r="J528" s="35"/>
      <c r="K528" s="35"/>
      <c r="L528" s="35"/>
      <c r="M528" s="35"/>
      <c r="N528" s="35"/>
      <c r="O528" s="35"/>
      <c r="P528" s="35"/>
      <c r="Q528" s="35"/>
    </row>
    <row r="529" spans="1:17">
      <c r="A529" s="36" t="s">
        <v>1580</v>
      </c>
      <c r="B529" s="36" t="s">
        <v>3521</v>
      </c>
      <c r="C529" s="37" t="s">
        <v>2764</v>
      </c>
      <c r="D529" s="37" t="s">
        <v>2763</v>
      </c>
      <c r="E529" s="37"/>
      <c r="F529" s="37" t="s">
        <v>2764</v>
      </c>
      <c r="G529" s="37" t="s">
        <v>2763</v>
      </c>
      <c r="H529" s="35"/>
      <c r="J529" s="35"/>
      <c r="K529" s="35"/>
      <c r="L529" s="35"/>
      <c r="M529" s="35"/>
      <c r="N529" s="35"/>
      <c r="O529" s="35"/>
      <c r="P529" s="35"/>
      <c r="Q529" s="35"/>
    </row>
    <row r="530" spans="1:17">
      <c r="A530" s="36" t="s">
        <v>1582</v>
      </c>
      <c r="B530" s="36" t="s">
        <v>3522</v>
      </c>
      <c r="C530" s="37" t="s">
        <v>2764</v>
      </c>
      <c r="D530" s="37" t="s">
        <v>2763</v>
      </c>
      <c r="E530" s="37"/>
      <c r="F530" s="37" t="s">
        <v>2764</v>
      </c>
      <c r="G530" s="37" t="s">
        <v>2763</v>
      </c>
      <c r="H530" s="35"/>
      <c r="J530" s="35"/>
      <c r="K530" s="35"/>
      <c r="L530" s="35"/>
      <c r="M530" s="35"/>
      <c r="N530" s="35"/>
      <c r="O530" s="35"/>
      <c r="P530" s="35"/>
      <c r="Q530" s="35"/>
    </row>
    <row r="531" spans="1:17">
      <c r="A531" s="36" t="s">
        <v>1584</v>
      </c>
      <c r="B531" s="36" t="s">
        <v>3523</v>
      </c>
      <c r="C531" s="37" t="s">
        <v>2764</v>
      </c>
      <c r="D531" s="37" t="s">
        <v>2763</v>
      </c>
      <c r="E531" s="37"/>
      <c r="F531" s="37" t="s">
        <v>2764</v>
      </c>
      <c r="G531" s="37" t="s">
        <v>2763</v>
      </c>
      <c r="H531" s="35"/>
      <c r="J531" s="35"/>
      <c r="K531" s="35"/>
      <c r="L531" s="35"/>
      <c r="M531" s="35"/>
      <c r="N531" s="35"/>
      <c r="O531" s="35"/>
      <c r="P531" s="35"/>
      <c r="Q531" s="35"/>
    </row>
    <row r="532" spans="1:17">
      <c r="A532" s="36" t="s">
        <v>1586</v>
      </c>
      <c r="B532" s="36" t="s">
        <v>3524</v>
      </c>
      <c r="C532" s="37" t="s">
        <v>2764</v>
      </c>
      <c r="D532" s="37" t="s">
        <v>2763</v>
      </c>
      <c r="E532" s="37"/>
      <c r="F532" s="37" t="s">
        <v>2764</v>
      </c>
      <c r="G532" s="37" t="s">
        <v>2763</v>
      </c>
      <c r="H532" s="35"/>
      <c r="J532" s="35"/>
      <c r="K532" s="35"/>
      <c r="L532" s="35"/>
      <c r="M532" s="35"/>
      <c r="N532" s="35"/>
      <c r="O532" s="35"/>
      <c r="P532" s="35"/>
      <c r="Q532" s="35"/>
    </row>
    <row r="533" spans="1:17">
      <c r="A533" s="36" t="s">
        <v>1588</v>
      </c>
      <c r="B533" s="36" t="s">
        <v>3525</v>
      </c>
      <c r="C533" s="37" t="s">
        <v>2764</v>
      </c>
      <c r="D533" s="37" t="s">
        <v>2763</v>
      </c>
      <c r="E533" s="37"/>
      <c r="F533" s="37" t="s">
        <v>2764</v>
      </c>
      <c r="G533" s="37" t="s">
        <v>2763</v>
      </c>
      <c r="H533" s="35"/>
      <c r="J533" s="35"/>
      <c r="K533" s="35"/>
      <c r="L533" s="35"/>
      <c r="M533" s="35"/>
      <c r="N533" s="35"/>
      <c r="O533" s="35"/>
      <c r="P533" s="35"/>
      <c r="Q533" s="35"/>
    </row>
    <row r="534" spans="1:17">
      <c r="A534" s="36" t="s">
        <v>1590</v>
      </c>
      <c r="B534" s="36" t="s">
        <v>3526</v>
      </c>
      <c r="C534" s="37" t="s">
        <v>2764</v>
      </c>
      <c r="D534" s="37" t="s">
        <v>2763</v>
      </c>
      <c r="E534" s="37"/>
      <c r="F534" s="37" t="s">
        <v>2764</v>
      </c>
      <c r="G534" s="37" t="s">
        <v>2763</v>
      </c>
      <c r="H534" s="35"/>
      <c r="J534" s="35"/>
      <c r="K534" s="35"/>
      <c r="L534" s="35"/>
      <c r="M534" s="35"/>
      <c r="N534" s="35"/>
      <c r="O534" s="35"/>
      <c r="P534" s="35"/>
      <c r="Q534" s="35"/>
    </row>
    <row r="535" spans="1:17">
      <c r="A535" s="36" t="s">
        <v>1592</v>
      </c>
      <c r="B535" s="36" t="s">
        <v>3527</v>
      </c>
      <c r="C535" s="37" t="s">
        <v>2764</v>
      </c>
      <c r="D535" s="37" t="s">
        <v>2763</v>
      </c>
      <c r="E535" s="37"/>
      <c r="F535" s="37" t="s">
        <v>2764</v>
      </c>
      <c r="G535" s="37" t="s">
        <v>2763</v>
      </c>
      <c r="H535" s="35"/>
      <c r="J535" s="35"/>
      <c r="K535" s="35"/>
      <c r="L535" s="35"/>
      <c r="M535" s="35"/>
      <c r="N535" s="35"/>
      <c r="O535" s="35"/>
      <c r="P535" s="35"/>
      <c r="Q535" s="35"/>
    </row>
    <row r="536" spans="1:17">
      <c r="A536" s="36" t="s">
        <v>1594</v>
      </c>
      <c r="B536" s="36" t="s">
        <v>3528</v>
      </c>
      <c r="C536" s="37" t="s">
        <v>2764</v>
      </c>
      <c r="D536" s="37" t="s">
        <v>2763</v>
      </c>
      <c r="E536" s="37"/>
      <c r="F536" s="37" t="s">
        <v>2764</v>
      </c>
      <c r="G536" s="37" t="s">
        <v>2763</v>
      </c>
      <c r="H536" s="35"/>
      <c r="J536" s="35"/>
      <c r="K536" s="35"/>
      <c r="L536" s="35"/>
      <c r="M536" s="35"/>
      <c r="N536" s="35"/>
      <c r="O536" s="35"/>
      <c r="P536" s="35"/>
      <c r="Q536" s="35"/>
    </row>
    <row r="537" spans="1:17">
      <c r="A537" s="36" t="s">
        <v>1596</v>
      </c>
      <c r="B537" s="36" t="s">
        <v>3529</v>
      </c>
      <c r="C537" s="37" t="s">
        <v>2764</v>
      </c>
      <c r="D537" s="37" t="s">
        <v>2763</v>
      </c>
      <c r="E537" s="37"/>
      <c r="F537" s="37" t="s">
        <v>2764</v>
      </c>
      <c r="G537" s="37" t="s">
        <v>2763</v>
      </c>
      <c r="H537" s="35"/>
      <c r="J537" s="35"/>
      <c r="K537" s="35"/>
      <c r="L537" s="35"/>
      <c r="M537" s="35"/>
      <c r="N537" s="35"/>
      <c r="O537" s="35"/>
      <c r="P537" s="35"/>
      <c r="Q537" s="35"/>
    </row>
    <row r="538" spans="1:17">
      <c r="A538" s="36" t="s">
        <v>1598</v>
      </c>
      <c r="B538" s="36" t="s">
        <v>3530</v>
      </c>
      <c r="C538" s="37" t="s">
        <v>2764</v>
      </c>
      <c r="D538" s="37" t="s">
        <v>2763</v>
      </c>
      <c r="E538" s="37"/>
      <c r="F538" s="37" t="s">
        <v>2764</v>
      </c>
      <c r="G538" s="37" t="s">
        <v>2763</v>
      </c>
      <c r="H538" s="35"/>
      <c r="J538" s="35"/>
      <c r="K538" s="35"/>
      <c r="L538" s="35"/>
      <c r="M538" s="35"/>
      <c r="N538" s="35"/>
      <c r="O538" s="35"/>
      <c r="P538" s="35"/>
      <c r="Q538" s="35"/>
    </row>
    <row r="539" spans="1:17">
      <c r="A539" s="36" t="s">
        <v>1600</v>
      </c>
      <c r="B539" s="36" t="s">
        <v>3531</v>
      </c>
      <c r="C539" s="37" t="s">
        <v>2764</v>
      </c>
      <c r="D539" s="37" t="s">
        <v>2763</v>
      </c>
      <c r="E539" s="37"/>
      <c r="F539" s="37" t="s">
        <v>2764</v>
      </c>
      <c r="G539" s="37" t="s">
        <v>2763</v>
      </c>
      <c r="H539" s="35"/>
      <c r="J539" s="35"/>
      <c r="K539" s="35"/>
      <c r="L539" s="35"/>
      <c r="M539" s="35"/>
      <c r="N539" s="35"/>
      <c r="O539" s="35"/>
      <c r="P539" s="35"/>
      <c r="Q539" s="35"/>
    </row>
    <row r="540" spans="1:17">
      <c r="A540" s="36" t="s">
        <v>1602</v>
      </c>
      <c r="B540" s="36" t="s">
        <v>3532</v>
      </c>
      <c r="C540" s="37" t="s">
        <v>2764</v>
      </c>
      <c r="D540" s="37" t="s">
        <v>2763</v>
      </c>
      <c r="E540" s="37"/>
      <c r="F540" s="37" t="s">
        <v>2764</v>
      </c>
      <c r="G540" s="37" t="s">
        <v>2763</v>
      </c>
      <c r="H540" s="35"/>
      <c r="J540" s="35"/>
      <c r="K540" s="35"/>
      <c r="L540" s="35"/>
      <c r="M540" s="35"/>
      <c r="N540" s="35"/>
      <c r="O540" s="35"/>
      <c r="P540" s="35"/>
      <c r="Q540" s="35"/>
    </row>
    <row r="541" spans="1:17">
      <c r="A541" s="36" t="s">
        <v>1604</v>
      </c>
      <c r="B541" s="36" t="s">
        <v>3533</v>
      </c>
      <c r="C541" s="37" t="s">
        <v>2764</v>
      </c>
      <c r="D541" s="37" t="s">
        <v>2763</v>
      </c>
      <c r="E541" s="37"/>
      <c r="F541" s="37" t="s">
        <v>2764</v>
      </c>
      <c r="G541" s="37" t="s">
        <v>2763</v>
      </c>
      <c r="H541" s="35"/>
      <c r="J541" s="35"/>
      <c r="K541" s="35"/>
      <c r="L541" s="35"/>
      <c r="M541" s="35"/>
      <c r="N541" s="35"/>
      <c r="O541" s="35"/>
      <c r="P541" s="35"/>
      <c r="Q541" s="35"/>
    </row>
    <row r="542" spans="1:17">
      <c r="A542" s="36" t="s">
        <v>1606</v>
      </c>
      <c r="B542" s="36" t="s">
        <v>3534</v>
      </c>
      <c r="C542" s="37" t="s">
        <v>2764</v>
      </c>
      <c r="D542" s="37" t="s">
        <v>2763</v>
      </c>
      <c r="E542" s="37"/>
      <c r="F542" s="37" t="s">
        <v>2764</v>
      </c>
      <c r="G542" s="37" t="s">
        <v>2763</v>
      </c>
      <c r="H542" s="35"/>
      <c r="J542" s="35"/>
      <c r="K542" s="35"/>
      <c r="L542" s="35"/>
      <c r="M542" s="35"/>
      <c r="N542" s="35"/>
      <c r="O542" s="35"/>
      <c r="P542" s="35"/>
      <c r="Q542" s="35"/>
    </row>
    <row r="543" spans="1:17">
      <c r="A543" s="36" t="s">
        <v>1608</v>
      </c>
      <c r="B543" s="36" t="s">
        <v>3535</v>
      </c>
      <c r="C543" s="37" t="s">
        <v>2764</v>
      </c>
      <c r="D543" s="37" t="s">
        <v>2763</v>
      </c>
      <c r="E543" s="37"/>
      <c r="F543" s="37" t="s">
        <v>2764</v>
      </c>
      <c r="G543" s="37" t="s">
        <v>2763</v>
      </c>
      <c r="H543" s="35"/>
      <c r="J543" s="35"/>
      <c r="K543" s="35"/>
      <c r="L543" s="35"/>
      <c r="M543" s="35"/>
      <c r="N543" s="35"/>
      <c r="O543" s="35"/>
      <c r="P543" s="35"/>
      <c r="Q543" s="35"/>
    </row>
    <row r="544" spans="1:17">
      <c r="A544" s="36" t="s">
        <v>1610</v>
      </c>
      <c r="B544" s="36" t="s">
        <v>3536</v>
      </c>
      <c r="C544" s="37" t="s">
        <v>2764</v>
      </c>
      <c r="D544" s="37" t="s">
        <v>2763</v>
      </c>
      <c r="E544" s="37"/>
      <c r="F544" s="37" t="s">
        <v>2764</v>
      </c>
      <c r="G544" s="37" t="s">
        <v>2763</v>
      </c>
      <c r="H544" s="35"/>
      <c r="J544" s="35"/>
      <c r="K544" s="35"/>
      <c r="L544" s="35"/>
      <c r="M544" s="35"/>
      <c r="N544" s="35"/>
      <c r="O544" s="35"/>
      <c r="P544" s="35"/>
      <c r="Q544" s="35"/>
    </row>
    <row r="545" spans="1:17">
      <c r="A545" s="36" t="s">
        <v>1612</v>
      </c>
      <c r="B545" s="36" t="s">
        <v>3537</v>
      </c>
      <c r="C545" s="37" t="s">
        <v>2764</v>
      </c>
      <c r="D545" s="37" t="s">
        <v>2763</v>
      </c>
      <c r="E545" s="37"/>
      <c r="F545" s="37" t="s">
        <v>2764</v>
      </c>
      <c r="G545" s="37" t="s">
        <v>2763</v>
      </c>
      <c r="H545" s="35"/>
      <c r="J545" s="35"/>
      <c r="K545" s="35"/>
      <c r="L545" s="35"/>
      <c r="M545" s="35"/>
      <c r="N545" s="35"/>
      <c r="O545" s="35"/>
      <c r="P545" s="35"/>
      <c r="Q545" s="35"/>
    </row>
    <row r="546" spans="1:17">
      <c r="A546" s="36" t="s">
        <v>1614</v>
      </c>
      <c r="B546" s="36" t="s">
        <v>3538</v>
      </c>
      <c r="C546" s="37" t="s">
        <v>2764</v>
      </c>
      <c r="D546" s="37" t="s">
        <v>2763</v>
      </c>
      <c r="E546" s="37"/>
      <c r="F546" s="37" t="s">
        <v>2764</v>
      </c>
      <c r="G546" s="37" t="s">
        <v>2763</v>
      </c>
      <c r="H546" s="35"/>
      <c r="J546" s="35"/>
      <c r="K546" s="35"/>
      <c r="L546" s="35"/>
      <c r="M546" s="35"/>
      <c r="N546" s="35"/>
      <c r="O546" s="35"/>
      <c r="P546" s="35"/>
      <c r="Q546" s="35"/>
    </row>
    <row r="547" spans="1:17">
      <c r="A547" s="36" t="s">
        <v>1616</v>
      </c>
      <c r="B547" s="36" t="s">
        <v>3539</v>
      </c>
      <c r="C547" s="37" t="s">
        <v>2764</v>
      </c>
      <c r="D547" s="37" t="s">
        <v>2763</v>
      </c>
      <c r="E547" s="37"/>
      <c r="F547" s="37" t="s">
        <v>2764</v>
      </c>
      <c r="G547" s="37" t="s">
        <v>2763</v>
      </c>
      <c r="H547" s="35"/>
      <c r="J547" s="35"/>
      <c r="K547" s="35"/>
      <c r="L547" s="35"/>
      <c r="M547" s="35"/>
      <c r="N547" s="35"/>
      <c r="O547" s="35"/>
      <c r="P547" s="35"/>
      <c r="Q547" s="35"/>
    </row>
    <row r="548" spans="1:17">
      <c r="A548" s="36" t="s">
        <v>1618</v>
      </c>
      <c r="B548" s="36" t="s">
        <v>3540</v>
      </c>
      <c r="C548" s="37" t="s">
        <v>2764</v>
      </c>
      <c r="D548" s="37" t="s">
        <v>2763</v>
      </c>
      <c r="E548" s="37"/>
      <c r="F548" s="37" t="s">
        <v>2764</v>
      </c>
      <c r="G548" s="37" t="s">
        <v>2763</v>
      </c>
      <c r="H548" s="35"/>
      <c r="J548" s="35"/>
      <c r="K548" s="35"/>
      <c r="L548" s="35"/>
      <c r="M548" s="35"/>
      <c r="N548" s="35"/>
      <c r="O548" s="35"/>
      <c r="P548" s="35"/>
      <c r="Q548" s="35"/>
    </row>
    <row r="549" spans="1:17">
      <c r="A549" s="36" t="s">
        <v>1620</v>
      </c>
      <c r="B549" s="36" t="s">
        <v>3541</v>
      </c>
      <c r="C549" s="37" t="s">
        <v>2764</v>
      </c>
      <c r="D549" s="37" t="s">
        <v>2763</v>
      </c>
      <c r="E549" s="37"/>
      <c r="F549" s="37" t="s">
        <v>2764</v>
      </c>
      <c r="G549" s="37" t="s">
        <v>2763</v>
      </c>
      <c r="H549" s="35"/>
      <c r="J549" s="35"/>
      <c r="K549" s="35"/>
      <c r="L549" s="35"/>
      <c r="M549" s="35"/>
      <c r="N549" s="35"/>
      <c r="O549" s="35"/>
      <c r="P549" s="35"/>
      <c r="Q549" s="35"/>
    </row>
    <row r="550" spans="1:17">
      <c r="A550" s="36" t="s">
        <v>1622</v>
      </c>
      <c r="B550" s="36" t="s">
        <v>3542</v>
      </c>
      <c r="C550" s="37" t="s">
        <v>2764</v>
      </c>
      <c r="D550" s="37" t="s">
        <v>2763</v>
      </c>
      <c r="E550" s="37"/>
      <c r="F550" s="37" t="s">
        <v>2764</v>
      </c>
      <c r="G550" s="37" t="s">
        <v>2763</v>
      </c>
      <c r="H550" s="35"/>
      <c r="J550" s="35"/>
      <c r="K550" s="35"/>
      <c r="L550" s="35"/>
      <c r="M550" s="35"/>
      <c r="N550" s="35"/>
      <c r="O550" s="35"/>
      <c r="P550" s="35"/>
      <c r="Q550" s="35"/>
    </row>
    <row r="551" spans="1:17">
      <c r="A551" s="36" t="s">
        <v>1624</v>
      </c>
      <c r="B551" s="36" t="s">
        <v>3543</v>
      </c>
      <c r="C551" s="37" t="s">
        <v>2764</v>
      </c>
      <c r="D551" s="37" t="s">
        <v>2763</v>
      </c>
      <c r="E551" s="37"/>
      <c r="F551" s="37" t="s">
        <v>2764</v>
      </c>
      <c r="G551" s="37" t="s">
        <v>2763</v>
      </c>
      <c r="H551" s="35"/>
      <c r="J551" s="35"/>
      <c r="K551" s="35"/>
      <c r="L551" s="35"/>
      <c r="M551" s="35"/>
      <c r="N551" s="35"/>
      <c r="O551" s="35"/>
      <c r="P551" s="35"/>
      <c r="Q551" s="35"/>
    </row>
    <row r="552" spans="1:17">
      <c r="A552" s="36" t="s">
        <v>1626</v>
      </c>
      <c r="B552" s="36" t="s">
        <v>3544</v>
      </c>
      <c r="C552" s="37" t="s">
        <v>2764</v>
      </c>
      <c r="D552" s="37" t="s">
        <v>2763</v>
      </c>
      <c r="E552" s="37"/>
      <c r="F552" s="37" t="s">
        <v>2764</v>
      </c>
      <c r="G552" s="37" t="s">
        <v>2763</v>
      </c>
      <c r="H552" s="35"/>
      <c r="J552" s="35"/>
      <c r="K552" s="35"/>
      <c r="L552" s="35"/>
      <c r="M552" s="35"/>
      <c r="N552" s="35"/>
      <c r="O552" s="35"/>
      <c r="P552" s="35"/>
      <c r="Q552" s="35"/>
    </row>
    <row r="553" spans="1:17">
      <c r="A553" s="36" t="s">
        <v>1628</v>
      </c>
      <c r="B553" s="36" t="s">
        <v>3545</v>
      </c>
      <c r="C553" s="37" t="s">
        <v>2764</v>
      </c>
      <c r="D553" s="37" t="s">
        <v>2763</v>
      </c>
      <c r="E553" s="37"/>
      <c r="F553" s="37" t="s">
        <v>2764</v>
      </c>
      <c r="G553" s="37" t="s">
        <v>2763</v>
      </c>
      <c r="H553" s="35"/>
      <c r="J553" s="35"/>
      <c r="K553" s="35"/>
      <c r="L553" s="35"/>
      <c r="M553" s="35"/>
      <c r="N553" s="35"/>
      <c r="O553" s="35"/>
      <c r="P553" s="35"/>
      <c r="Q553" s="35"/>
    </row>
    <row r="554" spans="1:17">
      <c r="A554" s="36" t="s">
        <v>1630</v>
      </c>
      <c r="B554" s="36" t="s">
        <v>3546</v>
      </c>
      <c r="C554" s="37" t="s">
        <v>2764</v>
      </c>
      <c r="D554" s="37" t="s">
        <v>2763</v>
      </c>
      <c r="E554" s="37"/>
      <c r="F554" s="37" t="s">
        <v>2764</v>
      </c>
      <c r="G554" s="37" t="s">
        <v>2763</v>
      </c>
      <c r="H554" s="35"/>
      <c r="J554" s="35"/>
      <c r="K554" s="35"/>
      <c r="L554" s="35"/>
      <c r="M554" s="35"/>
      <c r="N554" s="35"/>
      <c r="O554" s="35"/>
      <c r="P554" s="35"/>
      <c r="Q554" s="35"/>
    </row>
    <row r="555" spans="1:17">
      <c r="A555" s="36" t="s">
        <v>1632</v>
      </c>
      <c r="B555" s="36" t="s">
        <v>3547</v>
      </c>
      <c r="C555" s="37" t="s">
        <v>2764</v>
      </c>
      <c r="D555" s="37" t="s">
        <v>2763</v>
      </c>
      <c r="E555" s="37"/>
      <c r="F555" s="37" t="s">
        <v>2764</v>
      </c>
      <c r="G555" s="37" t="s">
        <v>2763</v>
      </c>
      <c r="H555" s="35"/>
      <c r="J555" s="35"/>
      <c r="K555" s="35"/>
      <c r="L555" s="35"/>
      <c r="M555" s="35"/>
      <c r="N555" s="35"/>
      <c r="O555" s="35"/>
      <c r="P555" s="35"/>
      <c r="Q555" s="35"/>
    </row>
    <row r="556" spans="1:17">
      <c r="A556" s="36" t="s">
        <v>1634</v>
      </c>
      <c r="B556" s="36" t="s">
        <v>3548</v>
      </c>
      <c r="C556" s="37" t="s">
        <v>2764</v>
      </c>
      <c r="D556" s="37" t="s">
        <v>2763</v>
      </c>
      <c r="E556" s="37"/>
      <c r="F556" s="37" t="s">
        <v>2764</v>
      </c>
      <c r="G556" s="37" t="s">
        <v>2763</v>
      </c>
      <c r="H556" s="35"/>
      <c r="J556" s="35"/>
      <c r="K556" s="35"/>
      <c r="L556" s="35"/>
      <c r="M556" s="35"/>
      <c r="N556" s="35"/>
      <c r="O556" s="35"/>
      <c r="P556" s="35"/>
      <c r="Q556" s="35"/>
    </row>
    <row r="557" spans="1:17">
      <c r="A557" s="36" t="s">
        <v>3549</v>
      </c>
      <c r="B557" s="36" t="s">
        <v>3550</v>
      </c>
      <c r="C557" s="37"/>
      <c r="D557" s="37"/>
      <c r="E557" s="37"/>
      <c r="F557" s="37"/>
      <c r="G557" s="37"/>
      <c r="H557" s="35"/>
      <c r="J557" s="35"/>
      <c r="K557" s="35"/>
      <c r="L557" s="35"/>
      <c r="M557" s="35"/>
      <c r="N557" s="35"/>
      <c r="O557" s="35"/>
      <c r="P557" s="35"/>
      <c r="Q557" s="35"/>
    </row>
    <row r="558" spans="1:17">
      <c r="A558" s="36" t="s">
        <v>1636</v>
      </c>
      <c r="B558" s="36" t="s">
        <v>3551</v>
      </c>
      <c r="C558" s="37" t="s">
        <v>2902</v>
      </c>
      <c r="D558" s="37" t="s">
        <v>2901</v>
      </c>
      <c r="E558" s="37"/>
      <c r="F558" s="37" t="s">
        <v>2902</v>
      </c>
      <c r="G558" s="37" t="s">
        <v>2901</v>
      </c>
      <c r="H558" s="35"/>
      <c r="J558" s="35"/>
      <c r="K558" s="35"/>
      <c r="L558" s="35"/>
      <c r="M558" s="35"/>
      <c r="N558" s="35"/>
      <c r="O558" s="35"/>
      <c r="P558" s="35"/>
      <c r="Q558" s="35"/>
    </row>
    <row r="559" spans="1:17">
      <c r="A559" s="36" t="s">
        <v>1638</v>
      </c>
      <c r="B559" s="36" t="s">
        <v>3552</v>
      </c>
      <c r="C559" s="37" t="s">
        <v>2902</v>
      </c>
      <c r="D559" s="37" t="s">
        <v>2901</v>
      </c>
      <c r="E559" s="37"/>
      <c r="F559" s="37" t="s">
        <v>2902</v>
      </c>
      <c r="G559" s="37" t="s">
        <v>2901</v>
      </c>
      <c r="H559" s="35"/>
      <c r="J559" s="35"/>
      <c r="K559" s="35"/>
      <c r="L559" s="35"/>
      <c r="M559" s="35"/>
      <c r="N559" s="35"/>
      <c r="O559" s="35"/>
      <c r="P559" s="35"/>
      <c r="Q559" s="35"/>
    </row>
    <row r="560" spans="1:17">
      <c r="A560" s="36" t="s">
        <v>1640</v>
      </c>
      <c r="B560" s="36" t="s">
        <v>3553</v>
      </c>
      <c r="C560" s="37" t="s">
        <v>2902</v>
      </c>
      <c r="D560" s="37" t="s">
        <v>2901</v>
      </c>
      <c r="E560" s="37"/>
      <c r="F560" s="37" t="s">
        <v>2902</v>
      </c>
      <c r="G560" s="37" t="s">
        <v>2901</v>
      </c>
      <c r="H560" s="35"/>
      <c r="J560" s="35"/>
      <c r="K560" s="35"/>
      <c r="L560" s="35"/>
      <c r="M560" s="35"/>
      <c r="N560" s="35"/>
      <c r="O560" s="35"/>
      <c r="P560" s="35"/>
      <c r="Q560" s="35"/>
    </row>
    <row r="561" spans="1:17">
      <c r="A561" s="36" t="s">
        <v>1642</v>
      </c>
      <c r="B561" s="36" t="s">
        <v>3554</v>
      </c>
      <c r="C561" s="37" t="s">
        <v>2902</v>
      </c>
      <c r="D561" s="37" t="s">
        <v>2901</v>
      </c>
      <c r="E561" s="37"/>
      <c r="F561" s="37" t="s">
        <v>2902</v>
      </c>
      <c r="G561" s="37" t="s">
        <v>2901</v>
      </c>
      <c r="H561" s="35"/>
      <c r="J561" s="35"/>
      <c r="K561" s="35"/>
      <c r="L561" s="35"/>
      <c r="M561" s="35"/>
      <c r="N561" s="35"/>
      <c r="O561" s="35"/>
      <c r="P561" s="35"/>
      <c r="Q561" s="35"/>
    </row>
    <row r="562" spans="1:17">
      <c r="A562" s="36" t="s">
        <v>1644</v>
      </c>
      <c r="B562" s="36" t="s">
        <v>3555</v>
      </c>
      <c r="C562" s="37" t="s">
        <v>2902</v>
      </c>
      <c r="D562" s="37" t="s">
        <v>2901</v>
      </c>
      <c r="E562" s="37"/>
      <c r="F562" s="37" t="s">
        <v>2902</v>
      </c>
      <c r="G562" s="37" t="s">
        <v>2901</v>
      </c>
      <c r="H562" s="35"/>
      <c r="J562" s="35"/>
      <c r="K562" s="35"/>
      <c r="L562" s="35"/>
      <c r="M562" s="35"/>
      <c r="N562" s="35"/>
      <c r="O562" s="35"/>
      <c r="P562" s="35"/>
      <c r="Q562" s="35"/>
    </row>
    <row r="563" spans="1:17">
      <c r="A563" s="36" t="s">
        <v>1646</v>
      </c>
      <c r="B563" s="36" t="s">
        <v>3556</v>
      </c>
      <c r="C563" s="37" t="s">
        <v>2902</v>
      </c>
      <c r="D563" s="37" t="s">
        <v>2901</v>
      </c>
      <c r="E563" s="37"/>
      <c r="F563" s="37" t="s">
        <v>2902</v>
      </c>
      <c r="G563" s="37" t="s">
        <v>2901</v>
      </c>
      <c r="H563" s="35"/>
      <c r="J563" s="35"/>
      <c r="K563" s="35"/>
      <c r="L563" s="35"/>
      <c r="M563" s="35"/>
      <c r="N563" s="35"/>
      <c r="O563" s="35"/>
      <c r="P563" s="35"/>
      <c r="Q563" s="35"/>
    </row>
    <row r="564" spans="1:17">
      <c r="A564" s="36" t="s">
        <v>1648</v>
      </c>
      <c r="B564" s="36" t="s">
        <v>3557</v>
      </c>
      <c r="C564" s="37" t="s">
        <v>2902</v>
      </c>
      <c r="D564" s="37" t="s">
        <v>2901</v>
      </c>
      <c r="E564" s="37"/>
      <c r="F564" s="37" t="s">
        <v>2902</v>
      </c>
      <c r="G564" s="37" t="s">
        <v>2901</v>
      </c>
      <c r="H564" s="35"/>
      <c r="J564" s="35"/>
      <c r="K564" s="35"/>
      <c r="L564" s="35"/>
      <c r="M564" s="35"/>
      <c r="N564" s="35"/>
      <c r="O564" s="35"/>
      <c r="P564" s="35"/>
      <c r="Q564" s="35"/>
    </row>
    <row r="565" spans="1:17">
      <c r="A565" s="36" t="s">
        <v>1650</v>
      </c>
      <c r="B565" s="36" t="s">
        <v>3558</v>
      </c>
      <c r="C565" s="37" t="s">
        <v>2902</v>
      </c>
      <c r="D565" s="37" t="s">
        <v>2901</v>
      </c>
      <c r="E565" s="37"/>
      <c r="F565" s="37" t="s">
        <v>2902</v>
      </c>
      <c r="G565" s="37" t="s">
        <v>2901</v>
      </c>
      <c r="H565" s="35"/>
      <c r="J565" s="35"/>
      <c r="K565" s="35"/>
      <c r="L565" s="35"/>
      <c r="M565" s="35"/>
      <c r="N565" s="35"/>
      <c r="O565" s="35"/>
      <c r="P565" s="35"/>
      <c r="Q565" s="35"/>
    </row>
    <row r="566" spans="1:17">
      <c r="A566" s="36" t="s">
        <v>1652</v>
      </c>
      <c r="B566" s="36" t="s">
        <v>3559</v>
      </c>
      <c r="C566" s="37" t="s">
        <v>3560</v>
      </c>
      <c r="D566" s="37" t="s">
        <v>3561</v>
      </c>
      <c r="E566" s="37"/>
      <c r="F566" s="37" t="s">
        <v>3560</v>
      </c>
      <c r="G566" s="37" t="s">
        <v>3561</v>
      </c>
      <c r="H566" s="35"/>
      <c r="J566" s="35"/>
      <c r="K566" s="35"/>
      <c r="L566" s="35"/>
      <c r="M566" s="35"/>
      <c r="N566" s="35"/>
      <c r="O566" s="35"/>
      <c r="P566" s="35"/>
      <c r="Q566" s="35"/>
    </row>
    <row r="567" spans="1:17">
      <c r="A567" s="36" t="s">
        <v>1654</v>
      </c>
      <c r="B567" s="36" t="s">
        <v>3562</v>
      </c>
      <c r="C567" s="37" t="s">
        <v>3560</v>
      </c>
      <c r="D567" s="37" t="s">
        <v>3561</v>
      </c>
      <c r="E567" s="37"/>
      <c r="F567" s="37" t="s">
        <v>3560</v>
      </c>
      <c r="G567" s="37" t="s">
        <v>3561</v>
      </c>
      <c r="H567" s="35"/>
      <c r="J567" s="35"/>
      <c r="K567" s="35"/>
      <c r="L567" s="35"/>
      <c r="M567" s="35"/>
      <c r="N567" s="35"/>
      <c r="O567" s="35"/>
      <c r="P567" s="35"/>
      <c r="Q567" s="35"/>
    </row>
    <row r="568" spans="1:17">
      <c r="A568" s="36" t="s">
        <v>1656</v>
      </c>
      <c r="B568" s="36" t="s">
        <v>3563</v>
      </c>
      <c r="C568" s="37" t="s">
        <v>2902</v>
      </c>
      <c r="D568" s="37" t="s">
        <v>2901</v>
      </c>
      <c r="E568" s="37"/>
      <c r="F568" s="37" t="s">
        <v>2902</v>
      </c>
      <c r="G568" s="37" t="s">
        <v>2901</v>
      </c>
      <c r="H568" s="35"/>
      <c r="J568" s="35"/>
      <c r="K568" s="35"/>
      <c r="L568" s="35"/>
      <c r="M568" s="35"/>
      <c r="N568" s="35"/>
      <c r="O568" s="35"/>
      <c r="P568" s="35"/>
      <c r="Q568" s="35"/>
    </row>
    <row r="569" spans="1:17">
      <c r="A569" s="36" t="s">
        <v>1658</v>
      </c>
      <c r="B569" s="36" t="s">
        <v>3564</v>
      </c>
      <c r="C569" s="37" t="s">
        <v>2902</v>
      </c>
      <c r="D569" s="37" t="s">
        <v>2901</v>
      </c>
      <c r="E569" s="37"/>
      <c r="F569" s="37" t="s">
        <v>2902</v>
      </c>
      <c r="G569" s="37" t="s">
        <v>2901</v>
      </c>
      <c r="H569" s="35"/>
      <c r="J569" s="35"/>
      <c r="K569" s="35"/>
      <c r="L569" s="35"/>
      <c r="M569" s="35"/>
      <c r="N569" s="35"/>
      <c r="O569" s="35"/>
      <c r="P569" s="35"/>
      <c r="Q569" s="35"/>
    </row>
    <row r="570" spans="1:17">
      <c r="A570" s="36" t="s">
        <v>1660</v>
      </c>
      <c r="B570" s="36" t="s">
        <v>3565</v>
      </c>
      <c r="C570" s="37" t="s">
        <v>2612</v>
      </c>
      <c r="D570" s="37" t="s">
        <v>2611</v>
      </c>
      <c r="E570" s="37"/>
      <c r="F570" s="37" t="s">
        <v>4787</v>
      </c>
      <c r="G570" s="37" t="s">
        <v>4786</v>
      </c>
      <c r="H570" s="35"/>
      <c r="J570" s="35"/>
      <c r="K570" s="35"/>
      <c r="L570" s="35"/>
      <c r="M570" s="35"/>
      <c r="N570" s="35"/>
      <c r="O570" s="35"/>
      <c r="P570" s="35"/>
      <c r="Q570" s="35"/>
    </row>
    <row r="571" spans="1:17">
      <c r="A571" s="36" t="s">
        <v>1662</v>
      </c>
      <c r="B571" s="36" t="s">
        <v>3566</v>
      </c>
      <c r="C571" s="37" t="s">
        <v>2612</v>
      </c>
      <c r="D571" s="37" t="s">
        <v>2611</v>
      </c>
      <c r="E571" s="37"/>
      <c r="F571" s="37" t="s">
        <v>4787</v>
      </c>
      <c r="G571" s="37" t="s">
        <v>4786</v>
      </c>
      <c r="H571" s="35"/>
      <c r="J571" s="35"/>
      <c r="K571" s="35"/>
      <c r="L571" s="35"/>
      <c r="M571" s="35"/>
      <c r="N571" s="35"/>
      <c r="O571" s="35"/>
      <c r="P571" s="35"/>
      <c r="Q571" s="35"/>
    </row>
    <row r="572" spans="1:17">
      <c r="A572" s="36" t="s">
        <v>1664</v>
      </c>
      <c r="B572" s="36" t="s">
        <v>3567</v>
      </c>
      <c r="C572" s="37" t="s">
        <v>2612</v>
      </c>
      <c r="D572" s="37" t="s">
        <v>2611</v>
      </c>
      <c r="E572" s="37"/>
      <c r="F572" s="37" t="s">
        <v>4787</v>
      </c>
      <c r="G572" s="37" t="s">
        <v>4786</v>
      </c>
      <c r="H572" s="35"/>
      <c r="J572" s="35"/>
      <c r="K572" s="35"/>
      <c r="L572" s="35"/>
      <c r="M572" s="35"/>
      <c r="N572" s="35"/>
      <c r="O572" s="35"/>
      <c r="P572" s="35"/>
      <c r="Q572" s="35"/>
    </row>
    <row r="573" spans="1:17">
      <c r="A573" s="36" t="s">
        <v>1666</v>
      </c>
      <c r="B573" s="36" t="s">
        <v>3568</v>
      </c>
      <c r="C573" s="37" t="s">
        <v>2902</v>
      </c>
      <c r="D573" s="37" t="s">
        <v>2901</v>
      </c>
      <c r="E573" s="37"/>
      <c r="F573" s="37" t="s">
        <v>2902</v>
      </c>
      <c r="G573" s="37" t="s">
        <v>2901</v>
      </c>
      <c r="H573" s="35"/>
      <c r="J573" s="35"/>
      <c r="K573" s="35"/>
      <c r="L573" s="35"/>
      <c r="M573" s="35"/>
      <c r="N573" s="35"/>
      <c r="O573" s="35"/>
      <c r="P573" s="35"/>
      <c r="Q573" s="35"/>
    </row>
    <row r="574" spans="1:17">
      <c r="A574" s="36" t="s">
        <v>1668</v>
      </c>
      <c r="B574" s="36" t="s">
        <v>3569</v>
      </c>
      <c r="C574" s="37" t="s">
        <v>2612</v>
      </c>
      <c r="D574" s="37" t="s">
        <v>2611</v>
      </c>
      <c r="E574" s="37"/>
      <c r="F574" s="37" t="s">
        <v>4787</v>
      </c>
      <c r="G574" s="37" t="s">
        <v>4786</v>
      </c>
      <c r="H574" s="35"/>
      <c r="J574" s="35"/>
      <c r="K574" s="35"/>
      <c r="L574" s="35"/>
      <c r="M574" s="35"/>
      <c r="N574" s="35"/>
      <c r="O574" s="35"/>
      <c r="P574" s="35"/>
      <c r="Q574" s="35"/>
    </row>
    <row r="575" spans="1:17">
      <c r="A575" s="36" t="s">
        <v>1670</v>
      </c>
      <c r="B575" s="36" t="s">
        <v>3570</v>
      </c>
      <c r="C575" s="37" t="s">
        <v>2612</v>
      </c>
      <c r="D575" s="37" t="s">
        <v>2611</v>
      </c>
      <c r="E575" s="37"/>
      <c r="F575" s="37" t="s">
        <v>4787</v>
      </c>
      <c r="G575" s="37" t="s">
        <v>4786</v>
      </c>
      <c r="H575" s="35"/>
      <c r="J575" s="35"/>
      <c r="K575" s="35"/>
      <c r="L575" s="35"/>
      <c r="M575" s="35"/>
      <c r="N575" s="35"/>
      <c r="O575" s="35"/>
      <c r="P575" s="35"/>
      <c r="Q575" s="35"/>
    </row>
    <row r="576" spans="1:17">
      <c r="A576" s="36" t="s">
        <v>3571</v>
      </c>
      <c r="B576" s="36" t="s">
        <v>3572</v>
      </c>
      <c r="C576" s="37"/>
      <c r="D576" s="37"/>
      <c r="E576" s="37"/>
      <c r="F576" s="37"/>
      <c r="G576" s="37"/>
      <c r="H576" s="35"/>
      <c r="J576" s="35"/>
      <c r="K576" s="35"/>
      <c r="L576" s="35"/>
      <c r="M576" s="35"/>
      <c r="N576" s="35"/>
      <c r="O576" s="35"/>
      <c r="P576" s="35"/>
      <c r="Q576" s="35"/>
    </row>
    <row r="577" spans="1:17">
      <c r="A577" s="36" t="s">
        <v>1672</v>
      </c>
      <c r="B577" s="36" t="s">
        <v>3573</v>
      </c>
      <c r="C577" s="37" t="s">
        <v>3574</v>
      </c>
      <c r="D577" s="37" t="s">
        <v>3575</v>
      </c>
      <c r="E577" s="37"/>
      <c r="F577" s="37" t="s">
        <v>3574</v>
      </c>
      <c r="G577" s="37" t="s">
        <v>3575</v>
      </c>
      <c r="H577" s="35"/>
      <c r="J577" s="35"/>
      <c r="K577" s="35"/>
      <c r="L577" s="35"/>
      <c r="M577" s="35"/>
      <c r="N577" s="35"/>
      <c r="O577" s="35"/>
      <c r="P577" s="35"/>
      <c r="Q577" s="35"/>
    </row>
    <row r="578" spans="1:17">
      <c r="A578" s="36" t="s">
        <v>1674</v>
      </c>
      <c r="B578" s="36" t="s">
        <v>3576</v>
      </c>
      <c r="C578" s="37" t="s">
        <v>2934</v>
      </c>
      <c r="D578" s="37" t="s">
        <v>2933</v>
      </c>
      <c r="E578" s="37"/>
      <c r="F578" s="37" t="s">
        <v>2934</v>
      </c>
      <c r="G578" s="37" t="s">
        <v>2933</v>
      </c>
      <c r="H578" s="35"/>
      <c r="J578" s="35"/>
      <c r="K578" s="35"/>
      <c r="L578" s="35"/>
      <c r="M578" s="35"/>
      <c r="N578" s="35"/>
      <c r="O578" s="35"/>
      <c r="P578" s="35"/>
      <c r="Q578" s="35"/>
    </row>
    <row r="579" spans="1:17">
      <c r="A579" s="36" t="s">
        <v>1676</v>
      </c>
      <c r="B579" s="36" t="s">
        <v>3577</v>
      </c>
      <c r="C579" s="37" t="s">
        <v>3574</v>
      </c>
      <c r="D579" s="37" t="s">
        <v>3575</v>
      </c>
      <c r="E579" s="37"/>
      <c r="F579" s="37" t="s">
        <v>3574</v>
      </c>
      <c r="G579" s="37" t="s">
        <v>3575</v>
      </c>
      <c r="H579" s="35"/>
      <c r="J579" s="35"/>
      <c r="K579" s="35"/>
      <c r="L579" s="35"/>
      <c r="M579" s="35"/>
      <c r="N579" s="35"/>
      <c r="O579" s="35"/>
      <c r="P579" s="35"/>
      <c r="Q579" s="35"/>
    </row>
    <row r="580" spans="1:17">
      <c r="A580" s="36" t="s">
        <v>1678</v>
      </c>
      <c r="B580" s="36" t="s">
        <v>3578</v>
      </c>
      <c r="C580" s="37" t="s">
        <v>3574</v>
      </c>
      <c r="D580" s="37" t="s">
        <v>3575</v>
      </c>
      <c r="E580" s="37"/>
      <c r="F580" s="37" t="s">
        <v>3574</v>
      </c>
      <c r="G580" s="37" t="s">
        <v>3575</v>
      </c>
      <c r="H580" s="35"/>
      <c r="J580" s="35"/>
      <c r="K580" s="35"/>
      <c r="L580" s="35"/>
      <c r="M580" s="35"/>
      <c r="N580" s="35"/>
      <c r="O580" s="35"/>
      <c r="P580" s="35"/>
      <c r="Q580" s="35"/>
    </row>
    <row r="581" spans="1:17">
      <c r="A581" s="36" t="s">
        <v>1680</v>
      </c>
      <c r="B581" s="36" t="s">
        <v>3579</v>
      </c>
      <c r="C581" s="37" t="s">
        <v>3574</v>
      </c>
      <c r="D581" s="37" t="s">
        <v>3575</v>
      </c>
      <c r="E581" s="37"/>
      <c r="F581" s="37" t="s">
        <v>3574</v>
      </c>
      <c r="G581" s="37" t="s">
        <v>3575</v>
      </c>
      <c r="H581" s="35"/>
      <c r="J581" s="35"/>
      <c r="K581" s="35"/>
      <c r="L581" s="35"/>
      <c r="M581" s="35"/>
      <c r="N581" s="35"/>
      <c r="O581" s="35"/>
      <c r="P581" s="35"/>
      <c r="Q581" s="35"/>
    </row>
    <row r="582" spans="1:17">
      <c r="A582" s="36" t="s">
        <v>1682</v>
      </c>
      <c r="B582" s="36" t="s">
        <v>3580</v>
      </c>
      <c r="C582" s="37" t="s">
        <v>3574</v>
      </c>
      <c r="D582" s="37" t="s">
        <v>3575</v>
      </c>
      <c r="E582" s="37"/>
      <c r="F582" s="37" t="s">
        <v>3574</v>
      </c>
      <c r="G582" s="37" t="s">
        <v>3575</v>
      </c>
      <c r="H582" s="35"/>
      <c r="J582" s="35"/>
      <c r="K582" s="35"/>
      <c r="L582" s="35"/>
      <c r="M582" s="35"/>
      <c r="N582" s="35"/>
      <c r="O582" s="35"/>
      <c r="P582" s="35"/>
      <c r="Q582" s="35"/>
    </row>
    <row r="583" spans="1:17">
      <c r="A583" s="36" t="s">
        <v>1684</v>
      </c>
      <c r="B583" s="36" t="s">
        <v>3581</v>
      </c>
      <c r="C583" s="37" t="s">
        <v>3574</v>
      </c>
      <c r="D583" s="37" t="s">
        <v>3575</v>
      </c>
      <c r="E583" s="37"/>
      <c r="F583" s="37" t="s">
        <v>3574</v>
      </c>
      <c r="G583" s="37" t="s">
        <v>3575</v>
      </c>
      <c r="H583" s="35"/>
      <c r="J583" s="35"/>
      <c r="K583" s="35"/>
      <c r="L583" s="35"/>
      <c r="M583" s="35"/>
      <c r="N583" s="35"/>
      <c r="O583" s="35"/>
      <c r="P583" s="35"/>
      <c r="Q583" s="35"/>
    </row>
    <row r="584" spans="1:17">
      <c r="A584" s="36" t="s">
        <v>1686</v>
      </c>
      <c r="B584" s="36" t="s">
        <v>3582</v>
      </c>
      <c r="C584" s="37" t="s">
        <v>3583</v>
      </c>
      <c r="D584" s="37" t="s">
        <v>3584</v>
      </c>
      <c r="E584" s="37"/>
      <c r="F584" s="37" t="s">
        <v>3583</v>
      </c>
      <c r="G584" s="37" t="s">
        <v>3584</v>
      </c>
      <c r="H584" s="35"/>
      <c r="J584" s="35"/>
      <c r="K584" s="35"/>
      <c r="L584" s="35"/>
      <c r="M584" s="35"/>
      <c r="N584" s="35"/>
      <c r="O584" s="35"/>
      <c r="P584" s="35"/>
      <c r="Q584" s="35"/>
    </row>
    <row r="585" spans="1:17">
      <c r="A585" s="36" t="s">
        <v>1688</v>
      </c>
      <c r="B585" s="36" t="s">
        <v>3585</v>
      </c>
      <c r="C585" s="37" t="s">
        <v>3574</v>
      </c>
      <c r="D585" s="37" t="s">
        <v>3575</v>
      </c>
      <c r="E585" s="37"/>
      <c r="F585" s="37" t="s">
        <v>3574</v>
      </c>
      <c r="G585" s="37" t="s">
        <v>3575</v>
      </c>
      <c r="H585" s="35"/>
      <c r="J585" s="35"/>
      <c r="K585" s="35"/>
      <c r="L585" s="35"/>
      <c r="M585" s="35"/>
      <c r="N585" s="35"/>
      <c r="O585" s="35"/>
      <c r="P585" s="35"/>
      <c r="Q585" s="35"/>
    </row>
    <row r="586" spans="1:17">
      <c r="A586" s="36" t="s">
        <v>1690</v>
      </c>
      <c r="B586" s="36" t="s">
        <v>3586</v>
      </c>
      <c r="C586" s="37" t="s">
        <v>3583</v>
      </c>
      <c r="D586" s="37" t="s">
        <v>3584</v>
      </c>
      <c r="E586" s="37"/>
      <c r="F586" s="37" t="s">
        <v>3583</v>
      </c>
      <c r="G586" s="37" t="s">
        <v>3584</v>
      </c>
      <c r="H586" s="35"/>
      <c r="J586" s="35"/>
      <c r="K586" s="35"/>
      <c r="L586" s="35"/>
      <c r="M586" s="35"/>
      <c r="N586" s="35"/>
      <c r="O586" s="35"/>
      <c r="P586" s="35"/>
      <c r="Q586" s="35"/>
    </row>
    <row r="587" spans="1:17">
      <c r="A587" s="36" t="s">
        <v>1692</v>
      </c>
      <c r="B587" s="36" t="s">
        <v>3587</v>
      </c>
      <c r="C587" s="37" t="s">
        <v>3583</v>
      </c>
      <c r="D587" s="37" t="s">
        <v>3584</v>
      </c>
      <c r="E587" s="37"/>
      <c r="F587" s="37" t="s">
        <v>3583</v>
      </c>
      <c r="G587" s="37" t="s">
        <v>3584</v>
      </c>
      <c r="H587" s="35"/>
      <c r="J587" s="35"/>
      <c r="K587" s="35"/>
      <c r="L587" s="35"/>
      <c r="M587" s="35"/>
      <c r="N587" s="35"/>
      <c r="O587" s="35"/>
      <c r="P587" s="35"/>
      <c r="Q587" s="35"/>
    </row>
    <row r="588" spans="1:17">
      <c r="A588" s="36" t="s">
        <v>1694</v>
      </c>
      <c r="B588" s="36" t="s">
        <v>3588</v>
      </c>
      <c r="C588" s="37" t="s">
        <v>3583</v>
      </c>
      <c r="D588" s="37" t="s">
        <v>3584</v>
      </c>
      <c r="E588" s="37"/>
      <c r="F588" s="37" t="s">
        <v>3583</v>
      </c>
      <c r="G588" s="37" t="s">
        <v>3584</v>
      </c>
      <c r="H588" s="35"/>
      <c r="J588" s="35"/>
      <c r="K588" s="35"/>
      <c r="L588" s="35"/>
      <c r="M588" s="35"/>
      <c r="N588" s="35"/>
      <c r="O588" s="35"/>
      <c r="P588" s="35"/>
      <c r="Q588" s="35"/>
    </row>
    <row r="589" spans="1:17">
      <c r="A589" s="36" t="s">
        <v>1696</v>
      </c>
      <c r="B589" s="36" t="s">
        <v>3589</v>
      </c>
      <c r="C589" s="37" t="s">
        <v>2934</v>
      </c>
      <c r="D589" s="37" t="s">
        <v>2933</v>
      </c>
      <c r="E589" s="37"/>
      <c r="F589" s="37" t="s">
        <v>2934</v>
      </c>
      <c r="G589" s="37" t="s">
        <v>2933</v>
      </c>
      <c r="H589" s="35"/>
      <c r="J589" s="35"/>
      <c r="K589" s="35"/>
      <c r="L589" s="35"/>
      <c r="M589" s="35"/>
      <c r="N589" s="35"/>
      <c r="O589" s="35"/>
      <c r="P589" s="35"/>
      <c r="Q589" s="35"/>
    </row>
    <row r="590" spans="1:17">
      <c r="A590" s="36" t="s">
        <v>1698</v>
      </c>
      <c r="B590" s="36" t="s">
        <v>3590</v>
      </c>
      <c r="C590" s="37" t="s">
        <v>2934</v>
      </c>
      <c r="D590" s="37" t="s">
        <v>2933</v>
      </c>
      <c r="E590" s="37"/>
      <c r="F590" s="37" t="s">
        <v>2934</v>
      </c>
      <c r="G590" s="37" t="s">
        <v>2933</v>
      </c>
      <c r="H590" s="35"/>
      <c r="J590" s="35"/>
      <c r="K590" s="35"/>
      <c r="L590" s="35"/>
      <c r="M590" s="35"/>
      <c r="N590" s="35"/>
      <c r="O590" s="35"/>
      <c r="P590" s="35"/>
      <c r="Q590" s="35"/>
    </row>
    <row r="591" spans="1:17">
      <c r="A591" s="36" t="s">
        <v>1700</v>
      </c>
      <c r="B591" s="36" t="s">
        <v>3591</v>
      </c>
      <c r="C591" s="37" t="s">
        <v>3592</v>
      </c>
      <c r="D591" s="37" t="s">
        <v>3593</v>
      </c>
      <c r="E591" s="37"/>
      <c r="F591" s="37" t="s">
        <v>3592</v>
      </c>
      <c r="G591" s="37" t="s">
        <v>3593</v>
      </c>
      <c r="H591" s="35"/>
      <c r="J591" s="35"/>
      <c r="K591" s="35"/>
      <c r="L591" s="35"/>
      <c r="M591" s="35"/>
      <c r="N591" s="35"/>
      <c r="O591" s="35"/>
      <c r="P591" s="35"/>
      <c r="Q591" s="35"/>
    </row>
    <row r="592" spans="1:17">
      <c r="A592" s="36" t="s">
        <v>1702</v>
      </c>
      <c r="B592" s="36" t="s">
        <v>3594</v>
      </c>
      <c r="C592" s="37" t="s">
        <v>3595</v>
      </c>
      <c r="D592" s="37" t="s">
        <v>3596</v>
      </c>
      <c r="E592" s="37"/>
      <c r="F592" s="37" t="s">
        <v>3595</v>
      </c>
      <c r="G592" s="37" t="s">
        <v>3596</v>
      </c>
      <c r="H592" s="35"/>
      <c r="J592" s="35"/>
      <c r="K592" s="35"/>
      <c r="L592" s="35"/>
      <c r="M592" s="35"/>
      <c r="N592" s="35"/>
      <c r="O592" s="35"/>
      <c r="P592" s="35"/>
      <c r="Q592" s="35"/>
    </row>
    <row r="593" spans="1:17">
      <c r="A593" s="36" t="s">
        <v>1704</v>
      </c>
      <c r="B593" s="36" t="s">
        <v>3597</v>
      </c>
      <c r="C593" s="37" t="s">
        <v>3574</v>
      </c>
      <c r="D593" s="37" t="s">
        <v>3575</v>
      </c>
      <c r="E593" s="37"/>
      <c r="F593" s="37" t="s">
        <v>3574</v>
      </c>
      <c r="G593" s="37" t="s">
        <v>3575</v>
      </c>
      <c r="H593" s="35"/>
      <c r="J593" s="35"/>
      <c r="K593" s="35"/>
      <c r="L593" s="35"/>
      <c r="M593" s="35"/>
      <c r="N593" s="35"/>
      <c r="O593" s="35"/>
      <c r="P593" s="35"/>
      <c r="Q593" s="35"/>
    </row>
    <row r="594" spans="1:17">
      <c r="A594" s="36" t="s">
        <v>3598</v>
      </c>
      <c r="B594" s="36" t="s">
        <v>3599</v>
      </c>
      <c r="C594" s="37"/>
      <c r="D594" s="37"/>
      <c r="E594" s="37"/>
      <c r="F594" s="37"/>
      <c r="G594" s="37"/>
      <c r="H594" s="35"/>
      <c r="J594" s="35"/>
      <c r="K594" s="35"/>
      <c r="L594" s="35"/>
      <c r="M594" s="35"/>
      <c r="N594" s="35"/>
      <c r="O594" s="35"/>
      <c r="P594" s="35"/>
      <c r="Q594" s="35"/>
    </row>
    <row r="595" spans="1:17">
      <c r="A595" s="36" t="s">
        <v>1706</v>
      </c>
      <c r="B595" s="36" t="s">
        <v>3600</v>
      </c>
      <c r="C595" s="37" t="s">
        <v>1562</v>
      </c>
      <c r="D595" s="37" t="s">
        <v>3601</v>
      </c>
      <c r="E595" s="37"/>
      <c r="F595" s="37" t="s">
        <v>1562</v>
      </c>
      <c r="G595" s="37" t="s">
        <v>3601</v>
      </c>
      <c r="H595" s="35"/>
      <c r="J595" s="35"/>
      <c r="K595" s="35"/>
      <c r="L595" s="35"/>
      <c r="M595" s="35"/>
      <c r="N595" s="35"/>
      <c r="O595" s="35"/>
      <c r="P595" s="35"/>
      <c r="Q595" s="35"/>
    </row>
    <row r="596" spans="1:17">
      <c r="A596" s="36" t="s">
        <v>1708</v>
      </c>
      <c r="B596" s="36" t="s">
        <v>3602</v>
      </c>
      <c r="C596" s="37" t="s">
        <v>1562</v>
      </c>
      <c r="D596" s="37" t="s">
        <v>3601</v>
      </c>
      <c r="E596" s="37"/>
      <c r="F596" s="37" t="s">
        <v>1562</v>
      </c>
      <c r="G596" s="37" t="s">
        <v>3601</v>
      </c>
      <c r="H596" s="35"/>
      <c r="J596" s="35"/>
      <c r="K596" s="35"/>
      <c r="L596" s="35"/>
      <c r="M596" s="35"/>
      <c r="N596" s="35"/>
      <c r="O596" s="35"/>
      <c r="P596" s="35"/>
      <c r="Q596" s="35"/>
    </row>
    <row r="597" spans="1:17">
      <c r="A597" s="36" t="s">
        <v>1710</v>
      </c>
      <c r="B597" s="36" t="s">
        <v>3603</v>
      </c>
      <c r="C597" s="37" t="s">
        <v>1562</v>
      </c>
      <c r="D597" s="37" t="s">
        <v>3601</v>
      </c>
      <c r="E597" s="37"/>
      <c r="F597" s="37" t="s">
        <v>1562</v>
      </c>
      <c r="G597" s="37" t="s">
        <v>3601</v>
      </c>
      <c r="H597" s="35"/>
      <c r="J597" s="35"/>
      <c r="K597" s="35"/>
      <c r="L597" s="35"/>
      <c r="M597" s="35"/>
      <c r="N597" s="35"/>
      <c r="O597" s="35"/>
      <c r="P597" s="35"/>
      <c r="Q597" s="35"/>
    </row>
    <row r="598" spans="1:17">
      <c r="A598" s="36" t="s">
        <v>1712</v>
      </c>
      <c r="B598" s="36" t="s">
        <v>3604</v>
      </c>
      <c r="C598" s="37" t="s">
        <v>3605</v>
      </c>
      <c r="D598" s="37" t="s">
        <v>3606</v>
      </c>
      <c r="E598" s="37"/>
      <c r="F598" s="37" t="s">
        <v>3605</v>
      </c>
      <c r="G598" s="37" t="s">
        <v>3606</v>
      </c>
      <c r="H598" s="35"/>
      <c r="J598" s="35"/>
      <c r="K598" s="35"/>
      <c r="L598" s="35"/>
      <c r="M598" s="35"/>
      <c r="N598" s="35"/>
      <c r="O598" s="35"/>
      <c r="P598" s="35"/>
      <c r="Q598" s="35"/>
    </row>
    <row r="599" spans="1:17">
      <c r="A599" s="36" t="s">
        <v>1714</v>
      </c>
      <c r="B599" s="36" t="s">
        <v>3607</v>
      </c>
      <c r="C599" s="37" t="s">
        <v>3608</v>
      </c>
      <c r="D599" s="37" t="s">
        <v>3609</v>
      </c>
      <c r="E599" s="37"/>
      <c r="F599" s="37" t="s">
        <v>3608</v>
      </c>
      <c r="G599" s="37" t="s">
        <v>3609</v>
      </c>
      <c r="H599" s="35"/>
      <c r="J599" s="35"/>
      <c r="K599" s="35"/>
      <c r="L599" s="35"/>
      <c r="M599" s="35"/>
      <c r="N599" s="35"/>
      <c r="O599" s="35"/>
      <c r="P599" s="35"/>
      <c r="Q599" s="35"/>
    </row>
    <row r="600" spans="1:17">
      <c r="A600" s="36" t="s">
        <v>1716</v>
      </c>
      <c r="B600" s="36" t="s">
        <v>3610</v>
      </c>
      <c r="C600" s="37" t="s">
        <v>3608</v>
      </c>
      <c r="D600" s="37" t="s">
        <v>3609</v>
      </c>
      <c r="E600" s="37"/>
      <c r="F600" s="37" t="s">
        <v>3608</v>
      </c>
      <c r="G600" s="37" t="s">
        <v>3609</v>
      </c>
      <c r="H600" s="35"/>
      <c r="J600" s="35"/>
      <c r="K600" s="35"/>
      <c r="L600" s="35"/>
      <c r="M600" s="35"/>
      <c r="N600" s="35"/>
      <c r="O600" s="35"/>
      <c r="P600" s="35"/>
      <c r="Q600" s="35"/>
    </row>
    <row r="601" spans="1:17">
      <c r="A601" s="36" t="s">
        <v>1718</v>
      </c>
      <c r="B601" s="36" t="s">
        <v>3611</v>
      </c>
      <c r="C601" s="37" t="s">
        <v>3612</v>
      </c>
      <c r="D601" s="37" t="s">
        <v>3613</v>
      </c>
      <c r="E601" s="37"/>
      <c r="F601" s="37" t="s">
        <v>3612</v>
      </c>
      <c r="G601" s="37" t="s">
        <v>3613</v>
      </c>
      <c r="H601" s="35"/>
      <c r="J601" s="35"/>
      <c r="K601" s="35"/>
      <c r="L601" s="35"/>
      <c r="M601" s="35"/>
      <c r="N601" s="35"/>
      <c r="O601" s="35"/>
      <c r="P601" s="35"/>
      <c r="Q601" s="35"/>
    </row>
    <row r="602" spans="1:17">
      <c r="A602" s="36" t="s">
        <v>1720</v>
      </c>
      <c r="B602" s="36" t="s">
        <v>3614</v>
      </c>
      <c r="C602" s="37" t="s">
        <v>3615</v>
      </c>
      <c r="D602" s="37" t="s">
        <v>3616</v>
      </c>
      <c r="E602" s="37"/>
      <c r="F602" s="37" t="s">
        <v>3615</v>
      </c>
      <c r="G602" s="37" t="s">
        <v>3616</v>
      </c>
      <c r="H602" s="35"/>
      <c r="J602" s="35"/>
      <c r="K602" s="35"/>
      <c r="L602" s="35"/>
      <c r="M602" s="35"/>
      <c r="N602" s="35"/>
      <c r="O602" s="35"/>
      <c r="P602" s="35"/>
      <c r="Q602" s="35"/>
    </row>
    <row r="603" spans="1:17">
      <c r="A603" s="36" t="s">
        <v>1722</v>
      </c>
      <c r="B603" s="36" t="s">
        <v>3617</v>
      </c>
      <c r="C603" s="37" t="s">
        <v>3615</v>
      </c>
      <c r="D603" s="37" t="s">
        <v>3616</v>
      </c>
      <c r="E603" s="37"/>
      <c r="F603" s="37" t="s">
        <v>3615</v>
      </c>
      <c r="G603" s="37" t="s">
        <v>3616</v>
      </c>
      <c r="H603" s="35"/>
      <c r="J603" s="35"/>
      <c r="K603" s="35"/>
      <c r="L603" s="35"/>
      <c r="M603" s="35"/>
      <c r="N603" s="35"/>
      <c r="O603" s="35"/>
      <c r="P603" s="35"/>
      <c r="Q603" s="35"/>
    </row>
    <row r="604" spans="1:17">
      <c r="A604" s="36" t="s">
        <v>1724</v>
      </c>
      <c r="B604" s="36" t="s">
        <v>3618</v>
      </c>
      <c r="C604" s="37" t="s">
        <v>3615</v>
      </c>
      <c r="D604" s="37" t="s">
        <v>3616</v>
      </c>
      <c r="E604" s="37"/>
      <c r="F604" s="37" t="s">
        <v>3615</v>
      </c>
      <c r="G604" s="37" t="s">
        <v>3616</v>
      </c>
      <c r="H604" s="35"/>
      <c r="J604" s="35"/>
      <c r="K604" s="35"/>
      <c r="L604" s="35"/>
      <c r="M604" s="35"/>
      <c r="N604" s="35"/>
      <c r="O604" s="35"/>
      <c r="P604" s="35"/>
      <c r="Q604" s="35"/>
    </row>
    <row r="605" spans="1:17">
      <c r="A605" s="36" t="s">
        <v>1726</v>
      </c>
      <c r="B605" s="36" t="s">
        <v>3619</v>
      </c>
      <c r="C605" s="37" t="s">
        <v>3235</v>
      </c>
      <c r="D605" s="37" t="s">
        <v>3236</v>
      </c>
      <c r="E605" s="37"/>
      <c r="F605" s="37" t="s">
        <v>3235</v>
      </c>
      <c r="G605" s="37" t="s">
        <v>3236</v>
      </c>
      <c r="H605" s="35"/>
      <c r="J605" s="35"/>
      <c r="K605" s="35"/>
      <c r="L605" s="35"/>
      <c r="M605" s="35"/>
      <c r="N605" s="35"/>
      <c r="O605" s="35"/>
      <c r="P605" s="35"/>
      <c r="Q605" s="35"/>
    </row>
    <row r="606" spans="1:17">
      <c r="A606" s="36" t="s">
        <v>1728</v>
      </c>
      <c r="B606" s="36" t="s">
        <v>3620</v>
      </c>
      <c r="C606" s="37" t="s">
        <v>3621</v>
      </c>
      <c r="D606" s="37" t="s">
        <v>3622</v>
      </c>
      <c r="E606" s="37"/>
      <c r="F606" s="37" t="s">
        <v>3621</v>
      </c>
      <c r="G606" s="37" t="s">
        <v>3622</v>
      </c>
      <c r="H606" s="35"/>
      <c r="J606" s="35"/>
      <c r="K606" s="35"/>
      <c r="L606" s="35"/>
      <c r="M606" s="35"/>
      <c r="N606" s="35"/>
      <c r="O606" s="35"/>
      <c r="P606" s="35"/>
      <c r="Q606" s="35"/>
    </row>
    <row r="607" spans="1:17">
      <c r="A607" s="36" t="s">
        <v>1730</v>
      </c>
      <c r="B607" s="36" t="s">
        <v>3623</v>
      </c>
      <c r="C607" s="37" t="s">
        <v>3624</v>
      </c>
      <c r="D607" s="37" t="s">
        <v>3625</v>
      </c>
      <c r="E607" s="37"/>
      <c r="F607" s="37" t="s">
        <v>3624</v>
      </c>
      <c r="G607" s="37" t="s">
        <v>3625</v>
      </c>
      <c r="H607" s="35"/>
      <c r="J607" s="35"/>
      <c r="K607" s="35"/>
      <c r="L607" s="35"/>
      <c r="M607" s="35"/>
      <c r="N607" s="35"/>
      <c r="O607" s="35"/>
      <c r="P607" s="35"/>
      <c r="Q607" s="35"/>
    </row>
    <row r="608" spans="1:17">
      <c r="A608" s="36" t="s">
        <v>1732</v>
      </c>
      <c r="B608" s="36" t="s">
        <v>3626</v>
      </c>
      <c r="C608" s="37" t="s">
        <v>993</v>
      </c>
      <c r="D608" s="37" t="s">
        <v>2896</v>
      </c>
      <c r="E608" s="37"/>
      <c r="F608" s="37" t="s">
        <v>993</v>
      </c>
      <c r="G608" s="37" t="s">
        <v>2896</v>
      </c>
      <c r="H608" s="35"/>
      <c r="J608" s="35"/>
      <c r="K608" s="35"/>
      <c r="L608" s="35"/>
      <c r="M608" s="35"/>
      <c r="N608" s="35"/>
      <c r="O608" s="35"/>
      <c r="P608" s="35"/>
      <c r="Q608" s="35"/>
    </row>
    <row r="609" spans="1:17">
      <c r="A609" s="36" t="s">
        <v>1734</v>
      </c>
      <c r="B609" s="36" t="s">
        <v>3627</v>
      </c>
      <c r="C609" s="37" t="s">
        <v>3628</v>
      </c>
      <c r="D609" s="37" t="s">
        <v>3629</v>
      </c>
      <c r="E609" s="37"/>
      <c r="F609" s="37" t="s">
        <v>3628</v>
      </c>
      <c r="G609" s="37" t="s">
        <v>3629</v>
      </c>
      <c r="H609" s="35"/>
      <c r="J609" s="35"/>
      <c r="K609" s="35"/>
      <c r="L609" s="35"/>
      <c r="M609" s="35"/>
      <c r="N609" s="35"/>
      <c r="O609" s="35"/>
      <c r="P609" s="35"/>
      <c r="Q609" s="35"/>
    </row>
    <row r="610" spans="1:17">
      <c r="A610" s="36" t="s">
        <v>1736</v>
      </c>
      <c r="B610" s="36" t="s">
        <v>3630</v>
      </c>
      <c r="C610" s="37" t="s">
        <v>3197</v>
      </c>
      <c r="D610" s="37" t="s">
        <v>3198</v>
      </c>
      <c r="E610" s="37"/>
      <c r="F610" s="37" t="s">
        <v>3197</v>
      </c>
      <c r="G610" s="37" t="s">
        <v>3198</v>
      </c>
      <c r="H610" s="35"/>
      <c r="J610" s="35"/>
      <c r="K610" s="35"/>
      <c r="L610" s="35"/>
      <c r="M610" s="35"/>
      <c r="N610" s="35"/>
      <c r="O610" s="35"/>
      <c r="P610" s="35"/>
      <c r="Q610" s="35"/>
    </row>
    <row r="611" spans="1:17">
      <c r="A611" s="36" t="s">
        <v>1738</v>
      </c>
      <c r="B611" s="36" t="s">
        <v>3631</v>
      </c>
      <c r="C611" s="37" t="s">
        <v>3197</v>
      </c>
      <c r="D611" s="37" t="s">
        <v>3198</v>
      </c>
      <c r="E611" s="37"/>
      <c r="F611" s="37" t="s">
        <v>3197</v>
      </c>
      <c r="G611" s="37" t="s">
        <v>3198</v>
      </c>
      <c r="H611" s="35"/>
      <c r="J611" s="35"/>
      <c r="K611" s="35"/>
      <c r="L611" s="35"/>
      <c r="M611" s="35"/>
      <c r="N611" s="35"/>
      <c r="O611" s="35"/>
      <c r="P611" s="35"/>
      <c r="Q611" s="35"/>
    </row>
    <row r="612" spans="1:17">
      <c r="A612" s="36" t="s">
        <v>1740</v>
      </c>
      <c r="B612" s="36" t="s">
        <v>3632</v>
      </c>
      <c r="C612" s="37" t="s">
        <v>3633</v>
      </c>
      <c r="D612" s="37" t="s">
        <v>3634</v>
      </c>
      <c r="E612" s="37"/>
      <c r="F612" s="37" t="s">
        <v>3633</v>
      </c>
      <c r="G612" s="37" t="s">
        <v>3634</v>
      </c>
      <c r="H612" s="35"/>
      <c r="J612" s="35"/>
      <c r="K612" s="35"/>
      <c r="L612" s="35"/>
      <c r="M612" s="35"/>
      <c r="N612" s="35"/>
      <c r="O612" s="35"/>
      <c r="P612" s="35"/>
      <c r="Q612" s="35"/>
    </row>
    <row r="613" spans="1:17">
      <c r="A613" s="36" t="s">
        <v>3635</v>
      </c>
      <c r="B613" s="36" t="s">
        <v>3636</v>
      </c>
      <c r="C613" s="37"/>
      <c r="D613" s="37"/>
      <c r="E613" s="37"/>
      <c r="F613" s="37"/>
      <c r="G613" s="37"/>
      <c r="H613" s="35"/>
      <c r="J613" s="35"/>
      <c r="K613" s="35"/>
      <c r="L613" s="35"/>
      <c r="M613" s="35"/>
      <c r="N613" s="35"/>
      <c r="O613" s="35"/>
      <c r="P613" s="35"/>
      <c r="Q613" s="35"/>
    </row>
    <row r="614" spans="1:17">
      <c r="A614" s="36" t="s">
        <v>3637</v>
      </c>
      <c r="B614" s="36" t="s">
        <v>3638</v>
      </c>
      <c r="C614" s="37"/>
      <c r="D614" s="37"/>
      <c r="E614" s="37"/>
      <c r="F614" s="37"/>
      <c r="G614" s="37"/>
      <c r="H614" s="35"/>
      <c r="J614" s="35"/>
      <c r="K614" s="35"/>
      <c r="L614" s="35"/>
      <c r="M614" s="35"/>
      <c r="N614" s="35"/>
      <c r="O614" s="35"/>
      <c r="P614" s="35"/>
      <c r="Q614" s="35"/>
    </row>
    <row r="615" spans="1:17">
      <c r="A615" s="36" t="s">
        <v>1742</v>
      </c>
      <c r="B615" s="36" t="s">
        <v>3639</v>
      </c>
      <c r="C615" s="37" t="s">
        <v>3010</v>
      </c>
      <c r="D615" s="37" t="s">
        <v>3009</v>
      </c>
      <c r="E615" s="37" t="s">
        <v>3640</v>
      </c>
      <c r="F615" s="37" t="s">
        <v>3010</v>
      </c>
      <c r="G615" s="37" t="s">
        <v>3009</v>
      </c>
      <c r="H615" s="35"/>
      <c r="J615" s="35"/>
      <c r="K615" s="35"/>
      <c r="L615" s="35"/>
      <c r="M615" s="35"/>
      <c r="N615" s="35"/>
      <c r="O615" s="35"/>
      <c r="P615" s="35"/>
      <c r="Q615" s="35"/>
    </row>
    <row r="616" spans="1:17">
      <c r="A616" s="36" t="s">
        <v>1744</v>
      </c>
      <c r="B616" s="36" t="s">
        <v>3641</v>
      </c>
      <c r="C616" s="37" t="s">
        <v>3010</v>
      </c>
      <c r="D616" s="37" t="s">
        <v>3009</v>
      </c>
      <c r="E616" s="37" t="s">
        <v>3640</v>
      </c>
      <c r="F616" s="37" t="s">
        <v>3010</v>
      </c>
      <c r="G616" s="37" t="s">
        <v>3009</v>
      </c>
      <c r="H616" s="35"/>
      <c r="J616" s="35"/>
      <c r="K616" s="35"/>
      <c r="L616" s="35"/>
      <c r="M616" s="35"/>
      <c r="N616" s="35"/>
      <c r="O616" s="35"/>
      <c r="P616" s="35"/>
      <c r="Q616" s="35"/>
    </row>
    <row r="617" spans="1:17">
      <c r="A617" s="36" t="s">
        <v>3642</v>
      </c>
      <c r="B617" s="36" t="s">
        <v>3643</v>
      </c>
      <c r="C617" s="37"/>
      <c r="D617" s="37"/>
      <c r="E617" s="37"/>
      <c r="F617" s="37"/>
      <c r="G617" s="37"/>
      <c r="H617" s="35"/>
      <c r="J617" s="35"/>
      <c r="K617" s="35"/>
      <c r="L617" s="35"/>
      <c r="M617" s="35"/>
      <c r="N617" s="35"/>
      <c r="O617" s="35"/>
      <c r="P617" s="35"/>
      <c r="Q617" s="35"/>
    </row>
    <row r="618" spans="1:17">
      <c r="A618" s="36" t="s">
        <v>1746</v>
      </c>
      <c r="B618" s="36" t="s">
        <v>3644</v>
      </c>
      <c r="C618" s="37" t="s">
        <v>3645</v>
      </c>
      <c r="D618" s="37" t="s">
        <v>3646</v>
      </c>
      <c r="E618" s="37"/>
      <c r="F618" s="37" t="s">
        <v>3645</v>
      </c>
      <c r="G618" s="37" t="s">
        <v>3646</v>
      </c>
      <c r="H618" s="35"/>
      <c r="J618" s="35"/>
      <c r="K618" s="35"/>
      <c r="L618" s="35"/>
      <c r="M618" s="35"/>
      <c r="N618" s="35"/>
      <c r="O618" s="35"/>
      <c r="P618" s="35"/>
      <c r="Q618" s="35"/>
    </row>
    <row r="619" spans="1:17">
      <c r="A619" s="36" t="s">
        <v>1748</v>
      </c>
      <c r="B619" s="36" t="s">
        <v>3647</v>
      </c>
      <c r="C619" s="37" t="s">
        <v>3645</v>
      </c>
      <c r="D619" s="37" t="s">
        <v>3646</v>
      </c>
      <c r="E619" s="37"/>
      <c r="F619" s="37" t="s">
        <v>3645</v>
      </c>
      <c r="G619" s="37" t="s">
        <v>3646</v>
      </c>
      <c r="H619" s="35"/>
      <c r="J619" s="35"/>
      <c r="K619" s="35"/>
      <c r="L619" s="35"/>
      <c r="M619" s="35"/>
      <c r="N619" s="35"/>
      <c r="O619" s="35"/>
      <c r="P619" s="35"/>
      <c r="Q619" s="35"/>
    </row>
    <row r="620" spans="1:17">
      <c r="A620" s="36" t="s">
        <v>1750</v>
      </c>
      <c r="B620" s="36" t="s">
        <v>3648</v>
      </c>
      <c r="C620" s="37" t="s">
        <v>3645</v>
      </c>
      <c r="D620" s="37" t="s">
        <v>3646</v>
      </c>
      <c r="E620" s="37"/>
      <c r="F620" s="37" t="s">
        <v>3645</v>
      </c>
      <c r="G620" s="37" t="s">
        <v>3646</v>
      </c>
      <c r="H620" s="35"/>
      <c r="J620" s="35"/>
      <c r="K620" s="35"/>
      <c r="L620" s="35"/>
      <c r="M620" s="35"/>
      <c r="N620" s="35"/>
      <c r="O620" s="35"/>
      <c r="P620" s="35"/>
      <c r="Q620" s="35"/>
    </row>
    <row r="621" spans="1:17">
      <c r="A621" s="36" t="s">
        <v>1752</v>
      </c>
      <c r="B621" s="36" t="s">
        <v>3649</v>
      </c>
      <c r="C621" s="37" t="s">
        <v>3645</v>
      </c>
      <c r="D621" s="37" t="s">
        <v>3646</v>
      </c>
      <c r="E621" s="37"/>
      <c r="F621" s="37" t="s">
        <v>3645</v>
      </c>
      <c r="G621" s="37" t="s">
        <v>3646</v>
      </c>
      <c r="H621" s="35"/>
      <c r="J621" s="35"/>
      <c r="K621" s="35"/>
      <c r="L621" s="35"/>
      <c r="M621" s="35"/>
      <c r="N621" s="35"/>
      <c r="O621" s="35"/>
      <c r="P621" s="35"/>
      <c r="Q621" s="35"/>
    </row>
    <row r="622" spans="1:17">
      <c r="A622" s="36" t="s">
        <v>1754</v>
      </c>
      <c r="B622" s="36" t="s">
        <v>3650</v>
      </c>
      <c r="C622" s="37" t="s">
        <v>3010</v>
      </c>
      <c r="D622" s="37" t="s">
        <v>3009</v>
      </c>
      <c r="E622" s="37"/>
      <c r="F622" s="37" t="s">
        <v>3010</v>
      </c>
      <c r="G622" s="37" t="s">
        <v>3009</v>
      </c>
      <c r="H622" s="35"/>
      <c r="J622" s="35"/>
      <c r="K622" s="35"/>
      <c r="L622" s="35"/>
      <c r="M622" s="35"/>
      <c r="N622" s="35"/>
      <c r="O622" s="35"/>
      <c r="P622" s="35"/>
      <c r="Q622" s="35"/>
    </row>
    <row r="623" spans="1:17">
      <c r="A623" s="36" t="s">
        <v>1756</v>
      </c>
      <c r="B623" s="36" t="s">
        <v>3651</v>
      </c>
      <c r="C623" s="37" t="s">
        <v>3010</v>
      </c>
      <c r="D623" s="37" t="s">
        <v>3009</v>
      </c>
      <c r="E623" s="37"/>
      <c r="F623" s="37" t="s">
        <v>3010</v>
      </c>
      <c r="G623" s="37" t="s">
        <v>3009</v>
      </c>
      <c r="H623" s="35"/>
      <c r="J623" s="35"/>
      <c r="K623" s="35"/>
      <c r="L623" s="35"/>
      <c r="M623" s="35"/>
      <c r="N623" s="35"/>
      <c r="O623" s="35"/>
      <c r="P623" s="35"/>
      <c r="Q623" s="35"/>
    </row>
    <row r="624" spans="1:17">
      <c r="A624" s="36" t="s">
        <v>1758</v>
      </c>
      <c r="B624" s="36" t="s">
        <v>3652</v>
      </c>
      <c r="C624" s="37" t="s">
        <v>3645</v>
      </c>
      <c r="D624" s="37" t="s">
        <v>3646</v>
      </c>
      <c r="E624" s="37"/>
      <c r="F624" s="37" t="s">
        <v>3645</v>
      </c>
      <c r="G624" s="37" t="s">
        <v>3646</v>
      </c>
      <c r="H624" s="35"/>
      <c r="J624" s="35"/>
      <c r="K624" s="35"/>
      <c r="L624" s="35"/>
      <c r="M624" s="35"/>
      <c r="N624" s="35"/>
      <c r="O624" s="35"/>
      <c r="P624" s="35"/>
      <c r="Q624" s="35"/>
    </row>
    <row r="625" spans="1:17">
      <c r="A625" s="36" t="s">
        <v>1760</v>
      </c>
      <c r="B625" s="36" t="s">
        <v>3653</v>
      </c>
      <c r="C625" s="37" t="s">
        <v>3010</v>
      </c>
      <c r="D625" s="37" t="s">
        <v>3009</v>
      </c>
      <c r="E625" s="37"/>
      <c r="F625" s="37" t="s">
        <v>3010</v>
      </c>
      <c r="G625" s="37" t="s">
        <v>3009</v>
      </c>
      <c r="H625" s="35"/>
      <c r="J625" s="35"/>
      <c r="K625" s="35"/>
      <c r="L625" s="35"/>
      <c r="M625" s="35"/>
      <c r="N625" s="35"/>
      <c r="O625" s="35"/>
      <c r="P625" s="35"/>
      <c r="Q625" s="35"/>
    </row>
    <row r="626" spans="1:17">
      <c r="A626" s="36" t="s">
        <v>3654</v>
      </c>
      <c r="B626" s="36" t="s">
        <v>3655</v>
      </c>
      <c r="C626" s="37"/>
      <c r="D626" s="37"/>
      <c r="E626" s="37"/>
      <c r="F626" s="37"/>
      <c r="G626" s="37"/>
      <c r="H626" s="35"/>
      <c r="J626" s="35"/>
      <c r="K626" s="35"/>
      <c r="L626" s="35"/>
      <c r="M626" s="35"/>
      <c r="N626" s="35"/>
      <c r="O626" s="35"/>
      <c r="P626" s="35"/>
      <c r="Q626" s="35"/>
    </row>
    <row r="627" spans="1:17">
      <c r="A627" s="36" t="s">
        <v>1762</v>
      </c>
      <c r="B627" s="36" t="s">
        <v>3656</v>
      </c>
      <c r="C627" s="37" t="s">
        <v>3010</v>
      </c>
      <c r="D627" s="37" t="s">
        <v>3009</v>
      </c>
      <c r="E627" s="37" t="s">
        <v>3640</v>
      </c>
      <c r="F627" s="37" t="s">
        <v>3010</v>
      </c>
      <c r="G627" s="37" t="s">
        <v>3009</v>
      </c>
      <c r="H627" s="35"/>
      <c r="J627" s="35"/>
      <c r="K627" s="35"/>
      <c r="L627" s="35"/>
      <c r="M627" s="35"/>
      <c r="N627" s="35"/>
      <c r="O627" s="35"/>
      <c r="P627" s="35"/>
      <c r="Q627" s="35"/>
    </row>
    <row r="628" spans="1:17">
      <c r="A628" s="36" t="s">
        <v>1764</v>
      </c>
      <c r="B628" s="36" t="s">
        <v>3657</v>
      </c>
      <c r="C628" s="37" t="s">
        <v>3010</v>
      </c>
      <c r="D628" s="37" t="s">
        <v>3009</v>
      </c>
      <c r="E628" s="37" t="s">
        <v>3640</v>
      </c>
      <c r="F628" s="37" t="s">
        <v>3010</v>
      </c>
      <c r="G628" s="37" t="s">
        <v>3009</v>
      </c>
      <c r="H628" s="35"/>
      <c r="J628" s="35"/>
      <c r="K628" s="35"/>
      <c r="L628" s="35"/>
      <c r="M628" s="35"/>
      <c r="N628" s="35"/>
      <c r="O628" s="35"/>
      <c r="P628" s="35"/>
      <c r="Q628" s="35"/>
    </row>
    <row r="629" spans="1:17">
      <c r="A629" s="36" t="s">
        <v>1766</v>
      </c>
      <c r="B629" s="36" t="s">
        <v>3658</v>
      </c>
      <c r="C629" s="37" t="s">
        <v>3010</v>
      </c>
      <c r="D629" s="37" t="s">
        <v>3009</v>
      </c>
      <c r="E629" s="37" t="s">
        <v>3640</v>
      </c>
      <c r="F629" s="37" t="s">
        <v>3010</v>
      </c>
      <c r="G629" s="37" t="s">
        <v>3009</v>
      </c>
      <c r="H629" s="35"/>
      <c r="J629" s="35"/>
      <c r="K629" s="35"/>
      <c r="L629" s="35"/>
      <c r="M629" s="35"/>
      <c r="N629" s="35"/>
      <c r="O629" s="35"/>
      <c r="P629" s="35"/>
      <c r="Q629" s="35"/>
    </row>
    <row r="630" spans="1:17">
      <c r="A630" s="36" t="s">
        <v>1768</v>
      </c>
      <c r="B630" s="36" t="s">
        <v>3659</v>
      </c>
      <c r="C630" s="37" t="s">
        <v>3010</v>
      </c>
      <c r="D630" s="37" t="s">
        <v>3009</v>
      </c>
      <c r="E630" s="37" t="s">
        <v>3640</v>
      </c>
      <c r="F630" s="37" t="s">
        <v>3010</v>
      </c>
      <c r="G630" s="37" t="s">
        <v>3009</v>
      </c>
      <c r="H630" s="35"/>
      <c r="J630" s="35"/>
      <c r="K630" s="35"/>
      <c r="L630" s="35"/>
      <c r="M630" s="35"/>
      <c r="N630" s="35"/>
      <c r="O630" s="35"/>
      <c r="P630" s="35"/>
      <c r="Q630" s="35"/>
    </row>
    <row r="631" spans="1:17">
      <c r="A631" s="36" t="s">
        <v>1770</v>
      </c>
      <c r="B631" s="36" t="s">
        <v>3660</v>
      </c>
      <c r="C631" s="37" t="s">
        <v>3661</v>
      </c>
      <c r="D631" s="37" t="s">
        <v>3662</v>
      </c>
      <c r="E631" s="37" t="s">
        <v>3640</v>
      </c>
      <c r="F631" s="37" t="s">
        <v>3661</v>
      </c>
      <c r="G631" s="37" t="s">
        <v>3662</v>
      </c>
      <c r="H631" s="35"/>
      <c r="J631" s="35"/>
      <c r="K631" s="35"/>
      <c r="L631" s="35"/>
      <c r="M631" s="35"/>
      <c r="N631" s="35"/>
      <c r="O631" s="35"/>
      <c r="P631" s="35"/>
      <c r="Q631" s="35"/>
    </row>
    <row r="632" spans="1:17">
      <c r="A632" s="36" t="s">
        <v>1772</v>
      </c>
      <c r="B632" s="36" t="s">
        <v>3663</v>
      </c>
      <c r="C632" s="37" t="s">
        <v>3661</v>
      </c>
      <c r="D632" s="37" t="s">
        <v>3662</v>
      </c>
      <c r="E632" s="37" t="s">
        <v>3640</v>
      </c>
      <c r="F632" s="37" t="s">
        <v>3661</v>
      </c>
      <c r="G632" s="37" t="s">
        <v>3662</v>
      </c>
      <c r="H632" s="35"/>
      <c r="J632" s="35"/>
      <c r="K632" s="35"/>
      <c r="L632" s="35"/>
      <c r="M632" s="35"/>
      <c r="N632" s="35"/>
      <c r="O632" s="35"/>
      <c r="P632" s="35"/>
      <c r="Q632" s="35"/>
    </row>
    <row r="633" spans="1:17">
      <c r="A633" s="36" t="s">
        <v>1774</v>
      </c>
      <c r="B633" s="36" t="s">
        <v>3664</v>
      </c>
      <c r="C633" s="37" t="s">
        <v>3661</v>
      </c>
      <c r="D633" s="37" t="s">
        <v>3662</v>
      </c>
      <c r="E633" s="37" t="s">
        <v>3640</v>
      </c>
      <c r="F633" s="37" t="s">
        <v>3661</v>
      </c>
      <c r="G633" s="37" t="s">
        <v>3662</v>
      </c>
      <c r="H633" s="35"/>
      <c r="J633" s="35"/>
      <c r="K633" s="35"/>
      <c r="L633" s="35"/>
      <c r="M633" s="35"/>
      <c r="N633" s="35"/>
      <c r="O633" s="35"/>
      <c r="P633" s="35"/>
      <c r="Q633" s="35"/>
    </row>
    <row r="634" spans="1:17">
      <c r="A634" s="36" t="s">
        <v>1776</v>
      </c>
      <c r="B634" s="36" t="s">
        <v>3665</v>
      </c>
      <c r="C634" s="37" t="s">
        <v>3661</v>
      </c>
      <c r="D634" s="37" t="s">
        <v>3662</v>
      </c>
      <c r="E634" s="37" t="s">
        <v>3640</v>
      </c>
      <c r="F634" s="37" t="s">
        <v>3661</v>
      </c>
      <c r="G634" s="37" t="s">
        <v>3662</v>
      </c>
      <c r="H634" s="35"/>
      <c r="J634" s="35"/>
      <c r="K634" s="35"/>
      <c r="L634" s="35"/>
      <c r="M634" s="35"/>
      <c r="N634" s="35"/>
      <c r="O634" s="35"/>
      <c r="P634" s="35"/>
      <c r="Q634" s="35"/>
    </row>
    <row r="635" spans="1:17">
      <c r="A635" s="36" t="s">
        <v>1778</v>
      </c>
      <c r="B635" s="36" t="s">
        <v>3666</v>
      </c>
      <c r="C635" s="37" t="s">
        <v>3010</v>
      </c>
      <c r="D635" s="37" t="s">
        <v>3009</v>
      </c>
      <c r="E635" s="37" t="s">
        <v>3640</v>
      </c>
      <c r="F635" s="37" t="s">
        <v>3010</v>
      </c>
      <c r="G635" s="37" t="s">
        <v>3009</v>
      </c>
      <c r="H635" s="35"/>
      <c r="J635" s="35"/>
      <c r="K635" s="35"/>
      <c r="L635" s="35"/>
      <c r="M635" s="35"/>
      <c r="N635" s="35"/>
      <c r="O635" s="35"/>
      <c r="P635" s="35"/>
      <c r="Q635" s="35"/>
    </row>
    <row r="636" spans="1:17">
      <c r="A636" s="36" t="s">
        <v>3667</v>
      </c>
      <c r="B636" s="36" t="s">
        <v>3668</v>
      </c>
      <c r="C636" s="37"/>
      <c r="D636" s="37"/>
      <c r="E636" s="37"/>
      <c r="F636" s="37"/>
      <c r="G636" s="37"/>
      <c r="H636" s="35"/>
      <c r="J636" s="35"/>
      <c r="K636" s="35"/>
      <c r="L636" s="35"/>
      <c r="M636" s="35"/>
      <c r="N636" s="35"/>
      <c r="O636" s="35"/>
      <c r="P636" s="35"/>
      <c r="Q636" s="35"/>
    </row>
    <row r="637" spans="1:17">
      <c r="A637" s="36" t="s">
        <v>1780</v>
      </c>
      <c r="B637" s="36" t="s">
        <v>3669</v>
      </c>
      <c r="C637" s="37" t="s">
        <v>2747</v>
      </c>
      <c r="D637" s="37" t="s">
        <v>2746</v>
      </c>
      <c r="E637" s="37"/>
      <c r="F637" s="37" t="s">
        <v>2747</v>
      </c>
      <c r="G637" s="37" t="s">
        <v>2746</v>
      </c>
      <c r="H637" s="35"/>
      <c r="J637" s="35"/>
      <c r="K637" s="35"/>
      <c r="L637" s="35"/>
      <c r="M637" s="35"/>
      <c r="N637" s="35"/>
      <c r="O637" s="35"/>
      <c r="P637" s="35"/>
      <c r="Q637" s="35"/>
    </row>
    <row r="638" spans="1:17">
      <c r="A638" s="36" t="s">
        <v>3670</v>
      </c>
      <c r="B638" s="36" t="s">
        <v>3671</v>
      </c>
      <c r="C638" s="37"/>
      <c r="D638" s="37"/>
      <c r="E638" s="37"/>
      <c r="F638" s="37"/>
      <c r="G638" s="37"/>
      <c r="H638" s="35"/>
      <c r="J638" s="35"/>
      <c r="K638" s="35"/>
      <c r="L638" s="35"/>
      <c r="M638" s="35"/>
      <c r="N638" s="35"/>
      <c r="O638" s="35"/>
      <c r="P638" s="35"/>
      <c r="Q638" s="35"/>
    </row>
    <row r="639" spans="1:17">
      <c r="A639" s="36" t="s">
        <v>1782</v>
      </c>
      <c r="B639" s="36" t="s">
        <v>3672</v>
      </c>
      <c r="C639" s="37" t="s">
        <v>3673</v>
      </c>
      <c r="D639" s="37" t="s">
        <v>3674</v>
      </c>
      <c r="E639" s="37"/>
      <c r="F639" s="37" t="s">
        <v>3673</v>
      </c>
      <c r="G639" s="37" t="s">
        <v>3674</v>
      </c>
      <c r="H639" s="35"/>
      <c r="J639" s="35"/>
      <c r="K639" s="35"/>
      <c r="L639" s="35"/>
      <c r="M639" s="35"/>
      <c r="N639" s="35"/>
      <c r="O639" s="35"/>
      <c r="P639" s="35"/>
      <c r="Q639" s="35"/>
    </row>
    <row r="640" spans="1:17">
      <c r="A640" s="36" t="s">
        <v>1784</v>
      </c>
      <c r="B640" s="36" t="s">
        <v>3675</v>
      </c>
      <c r="C640" s="37" t="s">
        <v>3673</v>
      </c>
      <c r="D640" s="37" t="s">
        <v>3674</v>
      </c>
      <c r="E640" s="37"/>
      <c r="F640" s="37" t="s">
        <v>3673</v>
      </c>
      <c r="G640" s="37" t="s">
        <v>3674</v>
      </c>
      <c r="H640" s="35"/>
      <c r="J640" s="35"/>
      <c r="K640" s="35"/>
      <c r="L640" s="35"/>
      <c r="M640" s="35"/>
      <c r="N640" s="35"/>
      <c r="O640" s="35"/>
      <c r="P640" s="35"/>
      <c r="Q640" s="35"/>
    </row>
    <row r="641" spans="1:17">
      <c r="A641" s="36" t="s">
        <v>1786</v>
      </c>
      <c r="B641" s="36" t="s">
        <v>3676</v>
      </c>
      <c r="C641" s="37" t="s">
        <v>3673</v>
      </c>
      <c r="D641" s="37" t="s">
        <v>3674</v>
      </c>
      <c r="E641" s="37"/>
      <c r="F641" s="37" t="s">
        <v>3673</v>
      </c>
      <c r="G641" s="37" t="s">
        <v>3674</v>
      </c>
      <c r="H641" s="35"/>
      <c r="J641" s="35"/>
      <c r="K641" s="35"/>
      <c r="L641" s="35"/>
      <c r="M641" s="35"/>
      <c r="N641" s="35"/>
      <c r="O641" s="35"/>
      <c r="P641" s="35"/>
      <c r="Q641" s="35"/>
    </row>
    <row r="642" spans="1:17">
      <c r="A642" s="36" t="s">
        <v>1788</v>
      </c>
      <c r="B642" s="36" t="s">
        <v>3677</v>
      </c>
      <c r="C642" s="37" t="s">
        <v>3673</v>
      </c>
      <c r="D642" s="37" t="s">
        <v>3674</v>
      </c>
      <c r="E642" s="37"/>
      <c r="F642" s="37" t="s">
        <v>3673</v>
      </c>
      <c r="G642" s="37" t="s">
        <v>3674</v>
      </c>
      <c r="H642" s="35"/>
      <c r="J642" s="35"/>
      <c r="K642" s="35"/>
      <c r="L642" s="35"/>
      <c r="M642" s="35"/>
      <c r="N642" s="35"/>
      <c r="O642" s="35"/>
      <c r="P642" s="35"/>
      <c r="Q642" s="35"/>
    </row>
    <row r="643" spans="1:17">
      <c r="A643" s="36" t="s">
        <v>1790</v>
      </c>
      <c r="B643" s="36" t="s">
        <v>3678</v>
      </c>
      <c r="C643" s="37" t="s">
        <v>3673</v>
      </c>
      <c r="D643" s="37" t="s">
        <v>3674</v>
      </c>
      <c r="E643" s="37"/>
      <c r="F643" s="37" t="s">
        <v>3673</v>
      </c>
      <c r="G643" s="37" t="s">
        <v>3674</v>
      </c>
      <c r="H643" s="35"/>
      <c r="J643" s="35"/>
      <c r="K643" s="35"/>
      <c r="L643" s="35"/>
      <c r="M643" s="35"/>
      <c r="N643" s="35"/>
      <c r="O643" s="35"/>
      <c r="P643" s="35"/>
      <c r="Q643" s="35"/>
    </row>
    <row r="644" spans="1:17">
      <c r="A644" s="36" t="s">
        <v>1792</v>
      </c>
      <c r="B644" s="36" t="s">
        <v>3679</v>
      </c>
      <c r="C644" s="37" t="s">
        <v>3673</v>
      </c>
      <c r="D644" s="37" t="s">
        <v>3674</v>
      </c>
      <c r="E644" s="37"/>
      <c r="F644" s="37" t="s">
        <v>3673</v>
      </c>
      <c r="G644" s="37" t="s">
        <v>3674</v>
      </c>
      <c r="H644" s="35"/>
      <c r="J644" s="35"/>
      <c r="K644" s="35"/>
      <c r="L644" s="35"/>
      <c r="M644" s="35"/>
      <c r="N644" s="35"/>
      <c r="O644" s="35"/>
      <c r="P644" s="35"/>
      <c r="Q644" s="35"/>
    </row>
    <row r="645" spans="1:17">
      <c r="A645" s="36" t="s">
        <v>1794</v>
      </c>
      <c r="B645" s="36" t="s">
        <v>3680</v>
      </c>
      <c r="C645" s="37" t="s">
        <v>3673</v>
      </c>
      <c r="D645" s="37" t="s">
        <v>3674</v>
      </c>
      <c r="E645" s="37"/>
      <c r="F645" s="37" t="s">
        <v>3673</v>
      </c>
      <c r="G645" s="37" t="s">
        <v>3674</v>
      </c>
      <c r="H645" s="35"/>
      <c r="J645" s="35"/>
      <c r="K645" s="35"/>
      <c r="L645" s="35"/>
      <c r="M645" s="35"/>
      <c r="N645" s="35"/>
      <c r="O645" s="35"/>
      <c r="P645" s="35"/>
      <c r="Q645" s="35"/>
    </row>
    <row r="646" spans="1:17">
      <c r="A646" s="36" t="s">
        <v>1796</v>
      </c>
      <c r="B646" s="36" t="s">
        <v>3681</v>
      </c>
      <c r="C646" s="37" t="s">
        <v>3673</v>
      </c>
      <c r="D646" s="37" t="s">
        <v>3674</v>
      </c>
      <c r="E646" s="37"/>
      <c r="F646" s="37" t="s">
        <v>3673</v>
      </c>
      <c r="G646" s="37" t="s">
        <v>3674</v>
      </c>
      <c r="H646" s="35"/>
      <c r="J646" s="35"/>
      <c r="K646" s="35"/>
      <c r="L646" s="35"/>
      <c r="M646" s="35"/>
      <c r="N646" s="35"/>
      <c r="O646" s="35"/>
      <c r="P646" s="35"/>
      <c r="Q646" s="35"/>
    </row>
    <row r="647" spans="1:17">
      <c r="A647" s="36" t="s">
        <v>1798</v>
      </c>
      <c r="B647" s="36" t="s">
        <v>3682</v>
      </c>
      <c r="C647" s="37" t="s">
        <v>3673</v>
      </c>
      <c r="D647" s="37" t="s">
        <v>3674</v>
      </c>
      <c r="E647" s="37"/>
      <c r="F647" s="37" t="s">
        <v>3673</v>
      </c>
      <c r="G647" s="37" t="s">
        <v>3674</v>
      </c>
      <c r="H647" s="35"/>
      <c r="J647" s="35"/>
      <c r="K647" s="35"/>
      <c r="L647" s="35"/>
      <c r="M647" s="35"/>
      <c r="N647" s="35"/>
      <c r="O647" s="35"/>
      <c r="P647" s="35"/>
      <c r="Q647" s="35"/>
    </row>
    <row r="648" spans="1:17">
      <c r="A648" s="36" t="s">
        <v>1800</v>
      </c>
      <c r="B648" s="36" t="s">
        <v>3683</v>
      </c>
      <c r="C648" s="37" t="s">
        <v>3673</v>
      </c>
      <c r="D648" s="37" t="s">
        <v>3674</v>
      </c>
      <c r="E648" s="37"/>
      <c r="F648" s="37" t="s">
        <v>3673</v>
      </c>
      <c r="G648" s="37" t="s">
        <v>3674</v>
      </c>
      <c r="H648" s="35"/>
      <c r="J648" s="35"/>
      <c r="K648" s="35"/>
      <c r="L648" s="35"/>
      <c r="M648" s="35"/>
      <c r="N648" s="35"/>
      <c r="O648" s="35"/>
      <c r="P648" s="35"/>
      <c r="Q648" s="35"/>
    </row>
    <row r="649" spans="1:17">
      <c r="A649" s="36" t="s">
        <v>1802</v>
      </c>
      <c r="B649" s="36" t="s">
        <v>3684</v>
      </c>
      <c r="C649" s="37" t="s">
        <v>3673</v>
      </c>
      <c r="D649" s="37" t="s">
        <v>3674</v>
      </c>
      <c r="E649" s="37"/>
      <c r="F649" s="37" t="s">
        <v>3673</v>
      </c>
      <c r="G649" s="37" t="s">
        <v>3674</v>
      </c>
      <c r="H649" s="35"/>
      <c r="J649" s="35"/>
      <c r="K649" s="35"/>
      <c r="L649" s="35"/>
      <c r="M649" s="35"/>
      <c r="N649" s="35"/>
      <c r="O649" s="35"/>
      <c r="P649" s="35"/>
      <c r="Q649" s="35"/>
    </row>
    <row r="650" spans="1:17">
      <c r="A650" s="36" t="s">
        <v>3685</v>
      </c>
      <c r="B650" s="36" t="s">
        <v>3686</v>
      </c>
      <c r="C650" s="37"/>
      <c r="D650" s="37"/>
      <c r="E650" s="37"/>
      <c r="F650" s="37"/>
      <c r="G650" s="37"/>
      <c r="H650" s="35"/>
      <c r="J650" s="35"/>
      <c r="K650" s="35"/>
      <c r="L650" s="35"/>
      <c r="M650" s="35"/>
      <c r="N650" s="35"/>
      <c r="O650" s="35"/>
      <c r="P650" s="35"/>
      <c r="Q650" s="35"/>
    </row>
    <row r="651" spans="1:17">
      <c r="A651" s="36" t="s">
        <v>1804</v>
      </c>
      <c r="B651" s="36" t="s">
        <v>3687</v>
      </c>
      <c r="C651" s="37" t="s">
        <v>2672</v>
      </c>
      <c r="D651" s="37" t="s">
        <v>2671</v>
      </c>
      <c r="E651" s="37"/>
      <c r="F651" s="37" t="s">
        <v>2672</v>
      </c>
      <c r="G651" s="37" t="s">
        <v>2671</v>
      </c>
      <c r="H651" s="35"/>
      <c r="J651" s="35"/>
      <c r="K651" s="35"/>
      <c r="L651" s="35"/>
      <c r="M651" s="35"/>
      <c r="N651" s="35"/>
      <c r="O651" s="35"/>
      <c r="P651" s="35"/>
      <c r="Q651" s="35"/>
    </row>
    <row r="652" spans="1:17">
      <c r="A652" s="36" t="s">
        <v>1806</v>
      </c>
      <c r="B652" s="36" t="s">
        <v>3688</v>
      </c>
      <c r="C652" s="37" t="s">
        <v>2672</v>
      </c>
      <c r="D652" s="37" t="s">
        <v>2671</v>
      </c>
      <c r="E652" s="37"/>
      <c r="F652" s="37" t="s">
        <v>2672</v>
      </c>
      <c r="G652" s="37" t="s">
        <v>2671</v>
      </c>
      <c r="H652" s="35"/>
      <c r="J652" s="35"/>
      <c r="K652" s="35"/>
      <c r="L652" s="35"/>
      <c r="M652" s="35"/>
      <c r="N652" s="35"/>
      <c r="O652" s="35"/>
      <c r="P652" s="35"/>
      <c r="Q652" s="35"/>
    </row>
    <row r="653" spans="1:17">
      <c r="A653" s="36" t="s">
        <v>1808</v>
      </c>
      <c r="B653" s="36" t="s">
        <v>3689</v>
      </c>
      <c r="C653" s="37" t="s">
        <v>2672</v>
      </c>
      <c r="D653" s="37" t="s">
        <v>2671</v>
      </c>
      <c r="E653" s="37"/>
      <c r="F653" s="37" t="s">
        <v>2672</v>
      </c>
      <c r="G653" s="37" t="s">
        <v>2671</v>
      </c>
      <c r="H653" s="35"/>
      <c r="J653" s="35"/>
      <c r="K653" s="35"/>
      <c r="L653" s="35"/>
      <c r="M653" s="35"/>
      <c r="N653" s="35"/>
      <c r="O653" s="35"/>
      <c r="P653" s="35"/>
      <c r="Q653" s="35"/>
    </row>
    <row r="654" spans="1:17">
      <c r="A654" s="36" t="s">
        <v>1810</v>
      </c>
      <c r="B654" s="36" t="s">
        <v>3690</v>
      </c>
      <c r="C654" s="37" t="s">
        <v>2672</v>
      </c>
      <c r="D654" s="37" t="s">
        <v>2671</v>
      </c>
      <c r="E654" s="37"/>
      <c r="F654" s="37" t="s">
        <v>2672</v>
      </c>
      <c r="G654" s="37" t="s">
        <v>2671</v>
      </c>
      <c r="H654" s="35"/>
      <c r="J654" s="35"/>
      <c r="K654" s="35"/>
      <c r="L654" s="35"/>
      <c r="M654" s="35"/>
      <c r="N654" s="35"/>
      <c r="O654" s="35"/>
      <c r="P654" s="35"/>
      <c r="Q654" s="35"/>
    </row>
    <row r="655" spans="1:17">
      <c r="A655" s="36" t="s">
        <v>1812</v>
      </c>
      <c r="B655" s="36" t="s">
        <v>3691</v>
      </c>
      <c r="C655" s="37" t="s">
        <v>2672</v>
      </c>
      <c r="D655" s="37" t="s">
        <v>2671</v>
      </c>
      <c r="E655" s="37"/>
      <c r="F655" s="37" t="s">
        <v>2672</v>
      </c>
      <c r="G655" s="37" t="s">
        <v>2671</v>
      </c>
      <c r="H655" s="35"/>
      <c r="J655" s="35"/>
      <c r="K655" s="35"/>
      <c r="L655" s="35"/>
      <c r="M655" s="35"/>
      <c r="N655" s="35"/>
      <c r="O655" s="35"/>
      <c r="P655" s="35"/>
      <c r="Q655" s="35"/>
    </row>
    <row r="656" spans="1:17">
      <c r="A656" s="36" t="s">
        <v>3692</v>
      </c>
      <c r="B656" s="36" t="s">
        <v>3693</v>
      </c>
      <c r="C656" s="37"/>
      <c r="D656" s="37"/>
      <c r="E656" s="37"/>
      <c r="F656" s="37"/>
      <c r="G656" s="37"/>
      <c r="H656" s="35"/>
      <c r="J656" s="35"/>
      <c r="K656" s="35"/>
      <c r="L656" s="35"/>
      <c r="M656" s="35"/>
      <c r="N656" s="35"/>
      <c r="O656" s="35"/>
      <c r="P656" s="35"/>
      <c r="Q656" s="35"/>
    </row>
    <row r="657" spans="1:17">
      <c r="A657" s="36" t="s">
        <v>1814</v>
      </c>
      <c r="B657" s="36" t="s">
        <v>3694</v>
      </c>
      <c r="C657" s="37" t="s">
        <v>2612</v>
      </c>
      <c r="D657" s="37" t="s">
        <v>2611</v>
      </c>
      <c r="E657" s="37"/>
      <c r="F657" s="37" t="s">
        <v>4787</v>
      </c>
      <c r="G657" s="37" t="s">
        <v>4786</v>
      </c>
      <c r="H657" s="35"/>
      <c r="J657" s="35"/>
      <c r="K657" s="35"/>
      <c r="L657" s="35"/>
      <c r="M657" s="35"/>
      <c r="N657" s="35"/>
      <c r="O657" s="35"/>
      <c r="P657" s="35"/>
      <c r="Q657" s="35"/>
    </row>
    <row r="658" spans="1:17">
      <c r="A658" s="36" t="s">
        <v>1816</v>
      </c>
      <c r="B658" s="36" t="s">
        <v>3695</v>
      </c>
      <c r="C658" s="37" t="s">
        <v>2612</v>
      </c>
      <c r="D658" s="37" t="s">
        <v>2611</v>
      </c>
      <c r="E658" s="37"/>
      <c r="F658" s="37" t="s">
        <v>4787</v>
      </c>
      <c r="G658" s="37" t="s">
        <v>4786</v>
      </c>
      <c r="H658" s="35"/>
      <c r="J658" s="35"/>
      <c r="K658" s="35"/>
      <c r="L658" s="35"/>
      <c r="M658" s="35"/>
      <c r="N658" s="35"/>
      <c r="O658" s="35"/>
      <c r="P658" s="35"/>
      <c r="Q658" s="35"/>
    </row>
    <row r="659" spans="1:17">
      <c r="A659" s="36" t="s">
        <v>1818</v>
      </c>
      <c r="B659" s="36" t="s">
        <v>3696</v>
      </c>
      <c r="C659" s="37" t="s">
        <v>2612</v>
      </c>
      <c r="D659" s="37" t="s">
        <v>2611</v>
      </c>
      <c r="E659" s="37"/>
      <c r="F659" s="37" t="s">
        <v>4787</v>
      </c>
      <c r="G659" s="37" t="s">
        <v>4786</v>
      </c>
      <c r="H659" s="35"/>
      <c r="J659" s="35"/>
      <c r="K659" s="35"/>
      <c r="L659" s="35"/>
      <c r="M659" s="35"/>
      <c r="N659" s="35"/>
      <c r="O659" s="35"/>
      <c r="P659" s="35"/>
      <c r="Q659" s="35"/>
    </row>
    <row r="660" spans="1:17">
      <c r="A660" s="36" t="s">
        <v>3697</v>
      </c>
      <c r="B660" s="36" t="s">
        <v>3698</v>
      </c>
      <c r="C660" s="37"/>
      <c r="D660" s="37"/>
      <c r="E660" s="37"/>
      <c r="F660" s="37"/>
      <c r="G660" s="37"/>
      <c r="H660" s="35"/>
      <c r="J660" s="35"/>
      <c r="K660" s="35"/>
      <c r="L660" s="35"/>
      <c r="M660" s="35"/>
      <c r="N660" s="35"/>
      <c r="O660" s="35"/>
      <c r="P660" s="35"/>
      <c r="Q660" s="35"/>
    </row>
    <row r="661" spans="1:17">
      <c r="A661" s="36" t="s">
        <v>1820</v>
      </c>
      <c r="B661" s="36" t="s">
        <v>3699</v>
      </c>
      <c r="C661" s="37" t="s">
        <v>3700</v>
      </c>
      <c r="D661" s="37" t="s">
        <v>3701</v>
      </c>
      <c r="E661" s="37"/>
      <c r="F661" s="37" t="s">
        <v>3700</v>
      </c>
      <c r="G661" s="37" t="s">
        <v>3701</v>
      </c>
      <c r="H661" s="35"/>
      <c r="J661" s="35"/>
      <c r="K661" s="35"/>
      <c r="L661" s="35"/>
      <c r="M661" s="35"/>
      <c r="N661" s="35"/>
      <c r="O661" s="35"/>
      <c r="P661" s="35"/>
      <c r="Q661" s="35"/>
    </row>
    <row r="662" spans="1:17">
      <c r="A662" s="36" t="s">
        <v>1822</v>
      </c>
      <c r="B662" s="36" t="s">
        <v>3702</v>
      </c>
      <c r="C662" s="37" t="s">
        <v>3703</v>
      </c>
      <c r="D662" s="37" t="s">
        <v>3704</v>
      </c>
      <c r="E662" s="37"/>
      <c r="F662" s="37" t="s">
        <v>3703</v>
      </c>
      <c r="G662" s="37" t="s">
        <v>3704</v>
      </c>
      <c r="H662" s="35"/>
      <c r="J662" s="35"/>
      <c r="K662" s="35"/>
      <c r="L662" s="35"/>
      <c r="M662" s="35"/>
      <c r="N662" s="35"/>
      <c r="O662" s="35"/>
      <c r="P662" s="35"/>
      <c r="Q662" s="35"/>
    </row>
    <row r="663" spans="1:17">
      <c r="A663" s="36" t="s">
        <v>1824</v>
      </c>
      <c r="B663" s="36" t="s">
        <v>3705</v>
      </c>
      <c r="C663" s="37" t="s">
        <v>3645</v>
      </c>
      <c r="D663" s="37" t="s">
        <v>3646</v>
      </c>
      <c r="E663" s="37"/>
      <c r="F663" s="37" t="s">
        <v>3645</v>
      </c>
      <c r="G663" s="37" t="s">
        <v>3646</v>
      </c>
      <c r="H663" s="35"/>
      <c r="J663" s="35"/>
      <c r="K663" s="35"/>
      <c r="L663" s="35"/>
      <c r="M663" s="35"/>
      <c r="N663" s="35"/>
      <c r="O663" s="35"/>
      <c r="P663" s="35"/>
      <c r="Q663" s="35"/>
    </row>
    <row r="664" spans="1:17">
      <c r="A664" s="36" t="s">
        <v>1826</v>
      </c>
      <c r="B664" s="36" t="s">
        <v>3706</v>
      </c>
      <c r="C664" s="37" t="s">
        <v>3010</v>
      </c>
      <c r="D664" s="37" t="s">
        <v>3009</v>
      </c>
      <c r="E664" s="37" t="s">
        <v>3640</v>
      </c>
      <c r="F664" s="37" t="s">
        <v>3010</v>
      </c>
      <c r="G664" s="37" t="s">
        <v>3009</v>
      </c>
      <c r="H664" s="35"/>
      <c r="J664" s="35"/>
      <c r="K664" s="35"/>
      <c r="L664" s="35"/>
      <c r="M664" s="35"/>
      <c r="N664" s="35"/>
      <c r="O664" s="35"/>
      <c r="P664" s="35"/>
      <c r="Q664" s="35"/>
    </row>
    <row r="665" spans="1:17">
      <c r="A665" s="36" t="s">
        <v>1828</v>
      </c>
      <c r="B665" s="36" t="s">
        <v>3707</v>
      </c>
      <c r="C665" s="37" t="s">
        <v>2612</v>
      </c>
      <c r="D665" s="37" t="s">
        <v>2611</v>
      </c>
      <c r="E665" s="37"/>
      <c r="F665" s="37" t="s">
        <v>4787</v>
      </c>
      <c r="G665" s="37" t="s">
        <v>4786</v>
      </c>
      <c r="H665" s="35"/>
      <c r="J665" s="35"/>
      <c r="K665" s="35"/>
      <c r="L665" s="35"/>
      <c r="M665" s="35"/>
      <c r="N665" s="35"/>
      <c r="O665" s="35"/>
      <c r="P665" s="35"/>
      <c r="Q665" s="35"/>
    </row>
    <row r="666" spans="1:17">
      <c r="A666" s="36" t="s">
        <v>1830</v>
      </c>
      <c r="B666" s="36" t="s">
        <v>3708</v>
      </c>
      <c r="C666" s="37" t="s">
        <v>1236</v>
      </c>
      <c r="D666" s="37" t="s">
        <v>3243</v>
      </c>
      <c r="E666" s="37"/>
      <c r="F666" s="37" t="s">
        <v>1236</v>
      </c>
      <c r="G666" s="37" t="s">
        <v>3243</v>
      </c>
      <c r="H666" s="35"/>
      <c r="J666" s="35"/>
      <c r="K666" s="35"/>
      <c r="L666" s="35"/>
      <c r="M666" s="35"/>
      <c r="N666" s="35"/>
      <c r="O666" s="35"/>
      <c r="P666" s="35"/>
      <c r="Q666" s="35"/>
    </row>
    <row r="667" spans="1:17">
      <c r="A667" s="36" t="s">
        <v>1832</v>
      </c>
      <c r="B667" s="36" t="s">
        <v>3709</v>
      </c>
      <c r="C667" s="37" t="s">
        <v>2999</v>
      </c>
      <c r="D667" s="37" t="s">
        <v>2998</v>
      </c>
      <c r="E667" s="37"/>
      <c r="F667" s="37" t="s">
        <v>2999</v>
      </c>
      <c r="G667" s="37" t="s">
        <v>2998</v>
      </c>
      <c r="H667" s="35"/>
      <c r="J667" s="35"/>
      <c r="K667" s="35"/>
      <c r="L667" s="35"/>
      <c r="M667" s="35"/>
      <c r="N667" s="35"/>
      <c r="O667" s="35"/>
      <c r="P667" s="35"/>
      <c r="Q667" s="35"/>
    </row>
    <row r="668" spans="1:17">
      <c r="A668" s="36" t="s">
        <v>1834</v>
      </c>
      <c r="B668" s="36" t="s">
        <v>3710</v>
      </c>
      <c r="C668" s="37" t="s">
        <v>3010</v>
      </c>
      <c r="D668" s="37" t="s">
        <v>3009</v>
      </c>
      <c r="E668" s="37"/>
      <c r="F668" s="37" t="s">
        <v>3010</v>
      </c>
      <c r="G668" s="37" t="s">
        <v>3009</v>
      </c>
      <c r="H668" s="35"/>
      <c r="J668" s="35"/>
      <c r="K668" s="35"/>
      <c r="L668" s="35"/>
      <c r="M668" s="35"/>
      <c r="N668" s="35"/>
      <c r="O668" s="35"/>
      <c r="P668" s="35"/>
      <c r="Q668" s="35"/>
    </row>
    <row r="669" spans="1:17">
      <c r="A669" s="36" t="s">
        <v>3711</v>
      </c>
      <c r="B669" s="36" t="s">
        <v>3712</v>
      </c>
      <c r="C669" s="37"/>
      <c r="D669" s="37"/>
      <c r="E669" s="37"/>
      <c r="F669" s="37"/>
      <c r="G669" s="37"/>
      <c r="H669" s="35"/>
      <c r="J669" s="35"/>
      <c r="K669" s="35"/>
      <c r="L669" s="35"/>
      <c r="M669" s="35"/>
      <c r="N669" s="35"/>
      <c r="O669" s="35"/>
      <c r="P669" s="35"/>
      <c r="Q669" s="35"/>
    </row>
    <row r="670" spans="1:17">
      <c r="A670" s="36" t="s">
        <v>1836</v>
      </c>
      <c r="B670" s="36" t="s">
        <v>3713</v>
      </c>
      <c r="C670" s="37" t="s">
        <v>3714</v>
      </c>
      <c r="D670" s="37" t="s">
        <v>3715</v>
      </c>
      <c r="E670" s="37"/>
      <c r="F670" s="37" t="s">
        <v>3714</v>
      </c>
      <c r="G670" s="37" t="s">
        <v>3715</v>
      </c>
      <c r="H670" s="35"/>
      <c r="J670" s="35"/>
      <c r="K670" s="35"/>
      <c r="L670" s="35"/>
      <c r="M670" s="35"/>
      <c r="N670" s="35"/>
      <c r="O670" s="35"/>
      <c r="P670" s="35"/>
      <c r="Q670" s="35"/>
    </row>
    <row r="671" spans="1:17">
      <c r="A671" s="36" t="s">
        <v>1838</v>
      </c>
      <c r="B671" s="36" t="s">
        <v>3716</v>
      </c>
      <c r="C671" s="37" t="s">
        <v>3714</v>
      </c>
      <c r="D671" s="37" t="s">
        <v>3715</v>
      </c>
      <c r="E671" s="37"/>
      <c r="F671" s="37" t="s">
        <v>3714</v>
      </c>
      <c r="G671" s="37" t="s">
        <v>3715</v>
      </c>
      <c r="H671" s="35"/>
      <c r="J671" s="35"/>
      <c r="K671" s="35"/>
      <c r="L671" s="35"/>
      <c r="M671" s="35"/>
      <c r="N671" s="35"/>
      <c r="O671" s="35"/>
      <c r="P671" s="35"/>
      <c r="Q671" s="35"/>
    </row>
    <row r="672" spans="1:17">
      <c r="A672" s="36" t="s">
        <v>1840</v>
      </c>
      <c r="B672" s="36" t="s">
        <v>3717</v>
      </c>
      <c r="C672" s="37" t="s">
        <v>3714</v>
      </c>
      <c r="D672" s="37" t="s">
        <v>3715</v>
      </c>
      <c r="E672" s="37"/>
      <c r="F672" s="37" t="s">
        <v>3714</v>
      </c>
      <c r="G672" s="37" t="s">
        <v>3715</v>
      </c>
      <c r="H672" s="35"/>
      <c r="J672" s="35"/>
      <c r="K672" s="35"/>
      <c r="L672" s="35"/>
      <c r="M672" s="35"/>
      <c r="N672" s="35"/>
      <c r="O672" s="35"/>
      <c r="P672" s="35"/>
      <c r="Q672" s="35"/>
    </row>
    <row r="673" spans="1:17">
      <c r="A673" s="36" t="s">
        <v>1842</v>
      </c>
      <c r="B673" s="36" t="s">
        <v>3718</v>
      </c>
      <c r="C673" s="37" t="s">
        <v>3714</v>
      </c>
      <c r="D673" s="37" t="s">
        <v>3715</v>
      </c>
      <c r="E673" s="37"/>
      <c r="F673" s="37" t="s">
        <v>3714</v>
      </c>
      <c r="G673" s="37" t="s">
        <v>3715</v>
      </c>
      <c r="H673" s="35"/>
      <c r="J673" s="35"/>
      <c r="K673" s="35"/>
      <c r="L673" s="35"/>
      <c r="M673" s="35"/>
      <c r="N673" s="35"/>
      <c r="O673" s="35"/>
      <c r="P673" s="35"/>
      <c r="Q673" s="35"/>
    </row>
    <row r="674" spans="1:17">
      <c r="A674" s="36" t="s">
        <v>1844</v>
      </c>
      <c r="B674" s="36" t="s">
        <v>3719</v>
      </c>
      <c r="C674" s="37" t="s">
        <v>3714</v>
      </c>
      <c r="D674" s="37" t="s">
        <v>3715</v>
      </c>
      <c r="E674" s="37"/>
      <c r="F674" s="37" t="s">
        <v>3714</v>
      </c>
      <c r="G674" s="37" t="s">
        <v>3715</v>
      </c>
      <c r="H674" s="35"/>
      <c r="J674" s="35"/>
      <c r="K674" s="35"/>
      <c r="L674" s="35"/>
      <c r="M674" s="35"/>
      <c r="N674" s="35"/>
      <c r="O674" s="35"/>
      <c r="P674" s="35"/>
      <c r="Q674" s="35"/>
    </row>
    <row r="675" spans="1:17">
      <c r="A675" s="36" t="s">
        <v>1846</v>
      </c>
      <c r="B675" s="36" t="s">
        <v>3720</v>
      </c>
      <c r="C675" s="37" t="s">
        <v>3714</v>
      </c>
      <c r="D675" s="37" t="s">
        <v>3715</v>
      </c>
      <c r="E675" s="37"/>
      <c r="F675" s="37" t="s">
        <v>3714</v>
      </c>
      <c r="G675" s="37" t="s">
        <v>3715</v>
      </c>
      <c r="H675" s="35"/>
      <c r="J675" s="35"/>
      <c r="K675" s="35"/>
      <c r="L675" s="35"/>
      <c r="M675" s="35"/>
      <c r="N675" s="35"/>
      <c r="O675" s="35"/>
      <c r="P675" s="35"/>
      <c r="Q675" s="35"/>
    </row>
    <row r="676" spans="1:17">
      <c r="A676" s="36" t="s">
        <v>1848</v>
      </c>
      <c r="B676" s="36" t="s">
        <v>3721</v>
      </c>
      <c r="C676" s="37" t="s">
        <v>3714</v>
      </c>
      <c r="D676" s="37" t="s">
        <v>3715</v>
      </c>
      <c r="E676" s="37"/>
      <c r="F676" s="37" t="s">
        <v>3714</v>
      </c>
      <c r="G676" s="37" t="s">
        <v>3715</v>
      </c>
      <c r="H676" s="35"/>
      <c r="J676" s="35"/>
      <c r="K676" s="35"/>
      <c r="L676" s="35"/>
      <c r="M676" s="35"/>
      <c r="N676" s="35"/>
      <c r="O676" s="35"/>
      <c r="P676" s="35"/>
      <c r="Q676" s="35"/>
    </row>
    <row r="677" spans="1:17">
      <c r="A677" s="36" t="s">
        <v>3722</v>
      </c>
      <c r="B677" s="36" t="s">
        <v>3723</v>
      </c>
      <c r="C677" s="37"/>
      <c r="D677" s="37"/>
      <c r="E677" s="37"/>
      <c r="F677" s="37"/>
      <c r="G677" s="37"/>
      <c r="H677" s="35"/>
      <c r="J677" s="35"/>
      <c r="K677" s="35"/>
      <c r="L677" s="35"/>
      <c r="M677" s="35"/>
      <c r="N677" s="35"/>
      <c r="O677" s="35"/>
      <c r="P677" s="35"/>
      <c r="Q677" s="35"/>
    </row>
    <row r="678" spans="1:17">
      <c r="A678" s="36" t="s">
        <v>1850</v>
      </c>
      <c r="B678" s="36" t="s">
        <v>3724</v>
      </c>
      <c r="C678" s="37" t="s">
        <v>2769</v>
      </c>
      <c r="D678" s="37" t="s">
        <v>2768</v>
      </c>
      <c r="E678" s="37"/>
      <c r="F678" s="37" t="s">
        <v>2769</v>
      </c>
      <c r="G678" s="37" t="s">
        <v>2768</v>
      </c>
      <c r="H678" s="35"/>
      <c r="J678" s="35"/>
      <c r="K678" s="35"/>
      <c r="L678" s="35"/>
      <c r="M678" s="35"/>
      <c r="N678" s="35"/>
      <c r="O678" s="35"/>
      <c r="P678" s="35"/>
      <c r="Q678" s="35"/>
    </row>
    <row r="679" spans="1:17">
      <c r="A679" s="36" t="s">
        <v>1852</v>
      </c>
      <c r="B679" s="36" t="s">
        <v>3725</v>
      </c>
      <c r="C679" s="37" t="s">
        <v>2769</v>
      </c>
      <c r="D679" s="37" t="s">
        <v>2768</v>
      </c>
      <c r="E679" s="37"/>
      <c r="F679" s="37" t="s">
        <v>2769</v>
      </c>
      <c r="G679" s="37" t="s">
        <v>2768</v>
      </c>
      <c r="H679" s="35"/>
      <c r="J679" s="35"/>
      <c r="K679" s="35"/>
      <c r="L679" s="35"/>
      <c r="M679" s="35"/>
      <c r="N679" s="35"/>
      <c r="O679" s="35"/>
      <c r="P679" s="35"/>
      <c r="Q679" s="35"/>
    </row>
    <row r="680" spans="1:17">
      <c r="A680" s="36" t="s">
        <v>1854</v>
      </c>
      <c r="B680" s="36" t="s">
        <v>3726</v>
      </c>
      <c r="C680" s="37" t="s">
        <v>2769</v>
      </c>
      <c r="D680" s="37" t="s">
        <v>2768</v>
      </c>
      <c r="E680" s="37"/>
      <c r="F680" s="37" t="s">
        <v>2769</v>
      </c>
      <c r="G680" s="37" t="s">
        <v>2768</v>
      </c>
      <c r="H680" s="35"/>
      <c r="J680" s="35"/>
      <c r="K680" s="35"/>
      <c r="L680" s="35"/>
      <c r="M680" s="35"/>
      <c r="N680" s="35"/>
      <c r="O680" s="35"/>
      <c r="P680" s="35"/>
      <c r="Q680" s="35"/>
    </row>
    <row r="681" spans="1:17">
      <c r="A681" s="36" t="s">
        <v>1856</v>
      </c>
      <c r="B681" s="36" t="s">
        <v>3727</v>
      </c>
      <c r="C681" s="37" t="s">
        <v>2774</v>
      </c>
      <c r="D681" s="37" t="s">
        <v>2773</v>
      </c>
      <c r="E681" s="37"/>
      <c r="F681" s="37" t="s">
        <v>2774</v>
      </c>
      <c r="G681" s="37" t="s">
        <v>2773</v>
      </c>
      <c r="H681" s="35"/>
      <c r="J681" s="35"/>
      <c r="K681" s="35"/>
      <c r="L681" s="35"/>
      <c r="M681" s="35"/>
      <c r="N681" s="35"/>
      <c r="O681" s="35"/>
      <c r="P681" s="35"/>
      <c r="Q681" s="35"/>
    </row>
    <row r="682" spans="1:17">
      <c r="A682" s="36" t="s">
        <v>1858</v>
      </c>
      <c r="B682" s="36" t="s">
        <v>3728</v>
      </c>
      <c r="C682" s="37" t="s">
        <v>2769</v>
      </c>
      <c r="D682" s="37" t="s">
        <v>2768</v>
      </c>
      <c r="E682" s="37"/>
      <c r="F682" s="37" t="s">
        <v>2769</v>
      </c>
      <c r="G682" s="37" t="s">
        <v>2768</v>
      </c>
      <c r="H682" s="35"/>
      <c r="J682" s="35"/>
      <c r="K682" s="35"/>
      <c r="L682" s="35"/>
      <c r="M682" s="35"/>
      <c r="N682" s="35"/>
      <c r="O682" s="35"/>
      <c r="P682" s="35"/>
      <c r="Q682" s="35"/>
    </row>
    <row r="683" spans="1:17">
      <c r="A683" s="36" t="s">
        <v>1860</v>
      </c>
      <c r="B683" s="36" t="s">
        <v>3729</v>
      </c>
      <c r="C683" s="37" t="s">
        <v>2774</v>
      </c>
      <c r="D683" s="37" t="s">
        <v>2773</v>
      </c>
      <c r="E683" s="37"/>
      <c r="F683" s="37" t="s">
        <v>2774</v>
      </c>
      <c r="G683" s="37" t="s">
        <v>2773</v>
      </c>
      <c r="H683" s="35"/>
      <c r="J683" s="35"/>
      <c r="K683" s="35"/>
      <c r="L683" s="35"/>
      <c r="M683" s="35"/>
      <c r="N683" s="35"/>
      <c r="O683" s="35"/>
      <c r="P683" s="35"/>
      <c r="Q683" s="35"/>
    </row>
    <row r="684" spans="1:17">
      <c r="A684" s="36" t="s">
        <v>1862</v>
      </c>
      <c r="B684" s="36" t="s">
        <v>3730</v>
      </c>
      <c r="C684" s="37" t="s">
        <v>2774</v>
      </c>
      <c r="D684" s="37" t="s">
        <v>2773</v>
      </c>
      <c r="E684" s="37"/>
      <c r="F684" s="37" t="s">
        <v>2774</v>
      </c>
      <c r="G684" s="37" t="s">
        <v>2773</v>
      </c>
      <c r="H684" s="35"/>
      <c r="J684" s="35"/>
      <c r="K684" s="35"/>
      <c r="L684" s="35"/>
      <c r="M684" s="35"/>
      <c r="N684" s="35"/>
      <c r="O684" s="35"/>
      <c r="P684" s="35"/>
      <c r="Q684" s="35"/>
    </row>
    <row r="685" spans="1:17">
      <c r="A685" s="36" t="s">
        <v>1864</v>
      </c>
      <c r="B685" s="36" t="s">
        <v>3731</v>
      </c>
      <c r="C685" s="37" t="s">
        <v>2774</v>
      </c>
      <c r="D685" s="37" t="s">
        <v>2773</v>
      </c>
      <c r="E685" s="37"/>
      <c r="F685" s="37" t="s">
        <v>2774</v>
      </c>
      <c r="G685" s="37" t="s">
        <v>2773</v>
      </c>
      <c r="H685" s="35"/>
      <c r="J685" s="35"/>
      <c r="K685" s="35"/>
      <c r="L685" s="35"/>
      <c r="M685" s="35"/>
      <c r="N685" s="35"/>
      <c r="O685" s="35"/>
      <c r="P685" s="35"/>
      <c r="Q685" s="35"/>
    </row>
    <row r="686" spans="1:17">
      <c r="A686" s="36" t="s">
        <v>1866</v>
      </c>
      <c r="B686" s="36" t="s">
        <v>3732</v>
      </c>
      <c r="C686" s="37" t="s">
        <v>2774</v>
      </c>
      <c r="D686" s="37" t="s">
        <v>2773</v>
      </c>
      <c r="E686" s="37"/>
      <c r="F686" s="37" t="s">
        <v>2774</v>
      </c>
      <c r="G686" s="37" t="s">
        <v>2773</v>
      </c>
      <c r="H686" s="35"/>
      <c r="J686" s="35"/>
      <c r="K686" s="35"/>
      <c r="L686" s="35"/>
      <c r="M686" s="35"/>
      <c r="N686" s="35"/>
      <c r="O686" s="35"/>
      <c r="P686" s="35"/>
      <c r="Q686" s="35"/>
    </row>
    <row r="687" spans="1:17">
      <c r="A687" s="36" t="s">
        <v>1868</v>
      </c>
      <c r="B687" s="36" t="s">
        <v>3733</v>
      </c>
      <c r="C687" s="37" t="s">
        <v>2622</v>
      </c>
      <c r="D687" s="37" t="s">
        <v>2621</v>
      </c>
      <c r="E687" s="37"/>
      <c r="F687" s="37" t="s">
        <v>2622</v>
      </c>
      <c r="G687" s="37" t="s">
        <v>2621</v>
      </c>
      <c r="H687" s="35"/>
      <c r="J687" s="35"/>
      <c r="K687" s="35"/>
      <c r="L687" s="35"/>
      <c r="M687" s="35"/>
      <c r="N687" s="35"/>
      <c r="O687" s="35"/>
      <c r="P687" s="35"/>
      <c r="Q687" s="35"/>
    </row>
    <row r="688" spans="1:17">
      <c r="A688" s="36" t="s">
        <v>1870</v>
      </c>
      <c r="B688" s="36" t="s">
        <v>3734</v>
      </c>
      <c r="C688" s="37" t="s">
        <v>2610</v>
      </c>
      <c r="D688" s="37" t="s">
        <v>2609</v>
      </c>
      <c r="E688" s="37"/>
      <c r="F688" s="37" t="s">
        <v>2610</v>
      </c>
      <c r="G688" s="37" t="s">
        <v>2609</v>
      </c>
      <c r="H688" s="35"/>
      <c r="J688" s="35"/>
      <c r="K688" s="35"/>
      <c r="L688" s="35"/>
      <c r="M688" s="35"/>
      <c r="N688" s="35"/>
      <c r="O688" s="35"/>
      <c r="P688" s="35"/>
      <c r="Q688" s="35"/>
    </row>
    <row r="689" spans="1:17">
      <c r="A689" s="36" t="s">
        <v>1872</v>
      </c>
      <c r="B689" s="36" t="s">
        <v>3735</v>
      </c>
      <c r="C689" s="37" t="s">
        <v>2774</v>
      </c>
      <c r="D689" s="37" t="s">
        <v>2773</v>
      </c>
      <c r="E689" s="37"/>
      <c r="F689" s="37" t="s">
        <v>2774</v>
      </c>
      <c r="G689" s="37" t="s">
        <v>2773</v>
      </c>
      <c r="H689" s="35"/>
      <c r="J689" s="35"/>
      <c r="K689" s="35"/>
      <c r="L689" s="35"/>
      <c r="M689" s="35"/>
      <c r="N689" s="35"/>
      <c r="O689" s="35"/>
      <c r="P689" s="35"/>
      <c r="Q689" s="35"/>
    </row>
    <row r="690" spans="1:17">
      <c r="A690" s="36" t="s">
        <v>1874</v>
      </c>
      <c r="B690" s="36" t="s">
        <v>3736</v>
      </c>
      <c r="C690" s="37" t="s">
        <v>3737</v>
      </c>
      <c r="D690" s="37" t="s">
        <v>3738</v>
      </c>
      <c r="E690" s="37"/>
      <c r="F690" s="37" t="s">
        <v>3737</v>
      </c>
      <c r="G690" s="37" t="s">
        <v>3738</v>
      </c>
      <c r="H690" s="35"/>
      <c r="J690" s="35"/>
      <c r="K690" s="35"/>
      <c r="L690" s="35"/>
      <c r="M690" s="35"/>
      <c r="N690" s="35"/>
      <c r="O690" s="35"/>
      <c r="P690" s="35"/>
      <c r="Q690" s="35"/>
    </row>
    <row r="691" spans="1:17">
      <c r="A691" s="36" t="s">
        <v>1876</v>
      </c>
      <c r="B691" s="36" t="s">
        <v>3739</v>
      </c>
      <c r="C691" s="37" t="s">
        <v>2774</v>
      </c>
      <c r="D691" s="37" t="s">
        <v>2773</v>
      </c>
      <c r="E691" s="37"/>
      <c r="F691" s="37" t="s">
        <v>2774</v>
      </c>
      <c r="G691" s="37" t="s">
        <v>2773</v>
      </c>
      <c r="H691" s="35"/>
      <c r="J691" s="35"/>
      <c r="K691" s="35"/>
      <c r="L691" s="35"/>
      <c r="M691" s="35"/>
      <c r="N691" s="35"/>
      <c r="O691" s="35"/>
      <c r="P691" s="35"/>
      <c r="Q691" s="35"/>
    </row>
    <row r="692" spans="1:17">
      <c r="A692" s="36" t="s">
        <v>3740</v>
      </c>
      <c r="B692" s="36" t="s">
        <v>3741</v>
      </c>
      <c r="C692" s="37"/>
      <c r="D692" s="37"/>
      <c r="E692" s="37"/>
      <c r="F692" s="37"/>
      <c r="G692" s="37"/>
      <c r="H692" s="35"/>
      <c r="J692" s="35"/>
      <c r="K692" s="35"/>
      <c r="L692" s="35"/>
      <c r="M692" s="35"/>
      <c r="N692" s="35"/>
      <c r="O692" s="35"/>
      <c r="P692" s="35"/>
      <c r="Q692" s="35"/>
    </row>
    <row r="693" spans="1:17">
      <c r="A693" s="36" t="s">
        <v>3742</v>
      </c>
      <c r="B693" s="36" t="s">
        <v>3743</v>
      </c>
      <c r="C693" s="37"/>
      <c r="D693" s="37"/>
      <c r="E693" s="37"/>
      <c r="F693" s="37"/>
      <c r="G693" s="37"/>
      <c r="H693" s="35"/>
      <c r="J693" s="35"/>
      <c r="K693" s="35"/>
      <c r="L693" s="35"/>
      <c r="M693" s="35"/>
      <c r="N693" s="35"/>
      <c r="O693" s="35"/>
      <c r="P693" s="35"/>
      <c r="Q693" s="35"/>
    </row>
    <row r="694" spans="1:17">
      <c r="A694" s="36" t="s">
        <v>1878</v>
      </c>
      <c r="B694" s="36" t="s">
        <v>3744</v>
      </c>
      <c r="C694" s="37" t="s">
        <v>3745</v>
      </c>
      <c r="D694" s="37" t="s">
        <v>3746</v>
      </c>
      <c r="E694" s="37"/>
      <c r="F694" s="37" t="s">
        <v>3745</v>
      </c>
      <c r="G694" s="37" t="s">
        <v>3746</v>
      </c>
      <c r="H694" s="35"/>
      <c r="J694" s="35"/>
      <c r="K694" s="35"/>
      <c r="L694" s="35"/>
      <c r="M694" s="35"/>
      <c r="N694" s="35"/>
      <c r="O694" s="35"/>
      <c r="P694" s="35"/>
      <c r="Q694" s="35"/>
    </row>
    <row r="695" spans="1:17">
      <c r="A695" s="36" t="s">
        <v>1880</v>
      </c>
      <c r="B695" s="36" t="s">
        <v>3747</v>
      </c>
      <c r="C695" s="37" t="s">
        <v>3745</v>
      </c>
      <c r="D695" s="37" t="s">
        <v>3746</v>
      </c>
      <c r="E695" s="37"/>
      <c r="F695" s="37" t="s">
        <v>3745</v>
      </c>
      <c r="G695" s="37" t="s">
        <v>3746</v>
      </c>
      <c r="H695" s="35"/>
      <c r="J695" s="35"/>
      <c r="K695" s="35"/>
      <c r="L695" s="35"/>
      <c r="M695" s="35"/>
      <c r="N695" s="35"/>
      <c r="O695" s="35"/>
      <c r="P695" s="35"/>
      <c r="Q695" s="35"/>
    </row>
    <row r="696" spans="1:17">
      <c r="A696" s="36" t="s">
        <v>1882</v>
      </c>
      <c r="B696" s="36" t="s">
        <v>3748</v>
      </c>
      <c r="C696" s="37" t="s">
        <v>3745</v>
      </c>
      <c r="D696" s="37" t="s">
        <v>3746</v>
      </c>
      <c r="E696" s="37"/>
      <c r="F696" s="37" t="s">
        <v>3745</v>
      </c>
      <c r="G696" s="37" t="s">
        <v>3746</v>
      </c>
      <c r="H696" s="35"/>
      <c r="J696" s="35"/>
      <c r="K696" s="35"/>
      <c r="L696" s="35"/>
      <c r="M696" s="35"/>
      <c r="N696" s="35"/>
      <c r="O696" s="35"/>
      <c r="P696" s="35"/>
      <c r="Q696" s="35"/>
    </row>
    <row r="697" spans="1:17">
      <c r="A697" s="36" t="s">
        <v>1884</v>
      </c>
      <c r="B697" s="36" t="s">
        <v>3749</v>
      </c>
      <c r="C697" s="37" t="s">
        <v>3745</v>
      </c>
      <c r="D697" s="37" t="s">
        <v>3746</v>
      </c>
      <c r="E697" s="37"/>
      <c r="F697" s="37" t="s">
        <v>3745</v>
      </c>
      <c r="G697" s="37" t="s">
        <v>3746</v>
      </c>
      <c r="H697" s="35"/>
      <c r="J697" s="35"/>
      <c r="K697" s="35"/>
      <c r="L697" s="35"/>
      <c r="M697" s="35"/>
      <c r="N697" s="35"/>
      <c r="O697" s="35"/>
      <c r="P697" s="35"/>
      <c r="Q697" s="35"/>
    </row>
    <row r="698" spans="1:17">
      <c r="A698" s="36" t="s">
        <v>1886</v>
      </c>
      <c r="B698" s="36" t="s">
        <v>3750</v>
      </c>
      <c r="C698" s="37" t="s">
        <v>3751</v>
      </c>
      <c r="D698" s="37" t="s">
        <v>3752</v>
      </c>
      <c r="E698" s="37"/>
      <c r="F698" s="37" t="s">
        <v>3751</v>
      </c>
      <c r="G698" s="37" t="s">
        <v>3752</v>
      </c>
      <c r="H698" s="35"/>
      <c r="J698" s="35"/>
      <c r="K698" s="35"/>
      <c r="L698" s="35"/>
      <c r="M698" s="35"/>
      <c r="N698" s="35"/>
      <c r="O698" s="35"/>
      <c r="P698" s="35"/>
      <c r="Q698" s="35"/>
    </row>
    <row r="699" spans="1:17">
      <c r="A699" s="36" t="s">
        <v>1888</v>
      </c>
      <c r="B699" s="36" t="s">
        <v>3753</v>
      </c>
      <c r="C699" s="37" t="s">
        <v>3754</v>
      </c>
      <c r="D699" s="37" t="s">
        <v>3755</v>
      </c>
      <c r="E699" s="37"/>
      <c r="F699" s="37" t="s">
        <v>3754</v>
      </c>
      <c r="G699" s="37" t="s">
        <v>3755</v>
      </c>
      <c r="H699" s="35"/>
      <c r="J699" s="35"/>
      <c r="K699" s="35"/>
      <c r="L699" s="35"/>
      <c r="M699" s="35"/>
      <c r="N699" s="35"/>
      <c r="O699" s="35"/>
      <c r="P699" s="35"/>
      <c r="Q699" s="35"/>
    </row>
    <row r="700" spans="1:17">
      <c r="A700" s="36" t="s">
        <v>1890</v>
      </c>
      <c r="B700" s="36" t="s">
        <v>3756</v>
      </c>
      <c r="C700" s="37" t="s">
        <v>2679</v>
      </c>
      <c r="D700" s="37" t="s">
        <v>2678</v>
      </c>
      <c r="E700" s="37"/>
      <c r="F700" s="37" t="s">
        <v>2679</v>
      </c>
      <c r="G700" s="37" t="s">
        <v>2678</v>
      </c>
      <c r="H700" s="35"/>
      <c r="J700" s="35"/>
      <c r="K700" s="35"/>
      <c r="L700" s="35"/>
      <c r="M700" s="35"/>
      <c r="N700" s="35"/>
      <c r="O700" s="35"/>
      <c r="P700" s="35"/>
      <c r="Q700" s="35"/>
    </row>
    <row r="701" spans="1:17">
      <c r="A701" s="36" t="s">
        <v>1892</v>
      </c>
      <c r="B701" s="36" t="s">
        <v>3757</v>
      </c>
      <c r="C701" s="37" t="s">
        <v>2679</v>
      </c>
      <c r="D701" s="37" t="s">
        <v>2678</v>
      </c>
      <c r="E701" s="37"/>
      <c r="F701" s="37" t="s">
        <v>2679</v>
      </c>
      <c r="G701" s="37" t="s">
        <v>2678</v>
      </c>
      <c r="H701" s="35"/>
      <c r="J701" s="35"/>
      <c r="K701" s="35"/>
      <c r="L701" s="35"/>
      <c r="M701" s="35"/>
      <c r="N701" s="35"/>
      <c r="O701" s="35"/>
      <c r="P701" s="35"/>
      <c r="Q701" s="35"/>
    </row>
    <row r="702" spans="1:17">
      <c r="A702" s="36" t="s">
        <v>1894</v>
      </c>
      <c r="B702" s="36" t="s">
        <v>3758</v>
      </c>
      <c r="C702" s="37" t="s">
        <v>2679</v>
      </c>
      <c r="D702" s="37" t="s">
        <v>2678</v>
      </c>
      <c r="E702" s="37"/>
      <c r="F702" s="37" t="s">
        <v>2679</v>
      </c>
      <c r="G702" s="37" t="s">
        <v>2678</v>
      </c>
      <c r="H702" s="35"/>
      <c r="J702" s="35"/>
      <c r="K702" s="35"/>
      <c r="L702" s="35"/>
      <c r="M702" s="35"/>
      <c r="N702" s="35"/>
      <c r="O702" s="35"/>
      <c r="P702" s="35"/>
      <c r="Q702" s="35"/>
    </row>
    <row r="703" spans="1:17">
      <c r="A703" s="36" t="s">
        <v>1896</v>
      </c>
      <c r="B703" s="36" t="s">
        <v>3759</v>
      </c>
      <c r="C703" s="37" t="s">
        <v>2679</v>
      </c>
      <c r="D703" s="37" t="s">
        <v>2678</v>
      </c>
      <c r="E703" s="37"/>
      <c r="F703" s="37" t="s">
        <v>2679</v>
      </c>
      <c r="G703" s="37" t="s">
        <v>2678</v>
      </c>
      <c r="H703" s="35"/>
      <c r="J703" s="35"/>
      <c r="K703" s="35"/>
      <c r="L703" s="35"/>
      <c r="M703" s="35"/>
      <c r="N703" s="35"/>
      <c r="O703" s="35"/>
      <c r="P703" s="35"/>
      <c r="Q703" s="35"/>
    </row>
    <row r="704" spans="1:17">
      <c r="A704" s="36" t="s">
        <v>1898</v>
      </c>
      <c r="B704" s="36" t="s">
        <v>3760</v>
      </c>
      <c r="C704" s="37" t="s">
        <v>3761</v>
      </c>
      <c r="D704" s="37" t="s">
        <v>3762</v>
      </c>
      <c r="E704" s="37"/>
      <c r="F704" s="37" t="s">
        <v>3761</v>
      </c>
      <c r="G704" s="37" t="s">
        <v>3762</v>
      </c>
      <c r="H704" s="35"/>
      <c r="J704" s="35"/>
      <c r="K704" s="35"/>
      <c r="L704" s="35"/>
      <c r="M704" s="35"/>
      <c r="N704" s="35"/>
      <c r="O704" s="35"/>
      <c r="P704" s="35"/>
      <c r="Q704" s="35"/>
    </row>
    <row r="705" spans="1:17">
      <c r="A705" s="36" t="s">
        <v>1900</v>
      </c>
      <c r="B705" s="36" t="s">
        <v>3763</v>
      </c>
      <c r="C705" s="37" t="s">
        <v>3764</v>
      </c>
      <c r="D705" s="37" t="s">
        <v>3765</v>
      </c>
      <c r="E705" s="37"/>
      <c r="F705" s="37" t="s">
        <v>3764</v>
      </c>
      <c r="G705" s="37" t="s">
        <v>3765</v>
      </c>
      <c r="H705" s="35"/>
      <c r="J705" s="35"/>
      <c r="K705" s="35"/>
      <c r="L705" s="35"/>
      <c r="M705" s="35"/>
      <c r="N705" s="35"/>
      <c r="O705" s="35"/>
      <c r="P705" s="35"/>
      <c r="Q705" s="35"/>
    </row>
    <row r="706" spans="1:17">
      <c r="A706" s="36" t="s">
        <v>1902</v>
      </c>
      <c r="B706" s="36" t="s">
        <v>3766</v>
      </c>
      <c r="C706" s="37" t="s">
        <v>3493</v>
      </c>
      <c r="D706" s="37" t="s">
        <v>3494</v>
      </c>
      <c r="E706" s="37"/>
      <c r="F706" s="37" t="s">
        <v>3493</v>
      </c>
      <c r="G706" s="37" t="s">
        <v>3494</v>
      </c>
      <c r="H706" s="35"/>
      <c r="J706" s="35"/>
      <c r="K706" s="35"/>
      <c r="L706" s="35"/>
      <c r="M706" s="35"/>
      <c r="N706" s="35"/>
      <c r="O706" s="35"/>
      <c r="P706" s="35"/>
      <c r="Q706" s="35"/>
    </row>
    <row r="707" spans="1:17">
      <c r="A707" s="36" t="s">
        <v>1904</v>
      </c>
      <c r="B707" s="36" t="s">
        <v>3767</v>
      </c>
      <c r="C707" s="37" t="s">
        <v>3768</v>
      </c>
      <c r="D707" s="37" t="s">
        <v>3769</v>
      </c>
      <c r="E707" s="37"/>
      <c r="F707" s="37" t="s">
        <v>3768</v>
      </c>
      <c r="G707" s="37" t="s">
        <v>3769</v>
      </c>
      <c r="H707" s="35"/>
      <c r="J707" s="35"/>
      <c r="K707" s="35"/>
      <c r="L707" s="35"/>
      <c r="M707" s="35"/>
      <c r="N707" s="35"/>
      <c r="O707" s="35"/>
      <c r="P707" s="35"/>
      <c r="Q707" s="35"/>
    </row>
    <row r="708" spans="1:17">
      <c r="A708" s="36" t="s">
        <v>1906</v>
      </c>
      <c r="B708" s="36" t="s">
        <v>3770</v>
      </c>
      <c r="C708" s="37" t="s">
        <v>2930</v>
      </c>
      <c r="D708" s="37" t="s">
        <v>2929</v>
      </c>
      <c r="E708" s="37"/>
      <c r="F708" s="37" t="s">
        <v>2930</v>
      </c>
      <c r="G708" s="37" t="s">
        <v>2929</v>
      </c>
      <c r="H708" s="35"/>
      <c r="J708" s="35"/>
      <c r="K708" s="35"/>
      <c r="L708" s="35"/>
      <c r="M708" s="35"/>
      <c r="N708" s="35"/>
      <c r="O708" s="35"/>
      <c r="P708" s="35"/>
      <c r="Q708" s="35"/>
    </row>
    <row r="709" spans="1:17">
      <c r="A709" s="36" t="s">
        <v>1908</v>
      </c>
      <c r="B709" s="36" t="s">
        <v>3771</v>
      </c>
      <c r="C709" s="37" t="s">
        <v>2930</v>
      </c>
      <c r="D709" s="37" t="s">
        <v>2929</v>
      </c>
      <c r="E709" s="37"/>
      <c r="F709" s="37" t="s">
        <v>2930</v>
      </c>
      <c r="G709" s="37" t="s">
        <v>2929</v>
      </c>
      <c r="H709" s="35"/>
      <c r="J709" s="35"/>
      <c r="K709" s="35"/>
      <c r="L709" s="35"/>
      <c r="M709" s="35"/>
      <c r="N709" s="35"/>
      <c r="O709" s="35"/>
      <c r="P709" s="35"/>
      <c r="Q709" s="35"/>
    </row>
    <row r="710" spans="1:17">
      <c r="A710" s="36" t="s">
        <v>1910</v>
      </c>
      <c r="B710" s="36" t="s">
        <v>3772</v>
      </c>
      <c r="C710" s="37" t="s">
        <v>3773</v>
      </c>
      <c r="D710" s="37" t="s">
        <v>3774</v>
      </c>
      <c r="E710" s="37"/>
      <c r="F710" s="37" t="s">
        <v>3773</v>
      </c>
      <c r="G710" s="37" t="s">
        <v>3774</v>
      </c>
      <c r="H710" s="35"/>
      <c r="J710" s="35"/>
      <c r="K710" s="35"/>
      <c r="L710" s="35"/>
      <c r="M710" s="35"/>
      <c r="N710" s="35"/>
      <c r="O710" s="35"/>
      <c r="P710" s="35"/>
      <c r="Q710" s="35"/>
    </row>
    <row r="711" spans="1:17">
      <c r="A711" s="36" t="s">
        <v>1912</v>
      </c>
      <c r="B711" s="36" t="s">
        <v>3775</v>
      </c>
      <c r="C711" s="37" t="s">
        <v>3776</v>
      </c>
      <c r="D711" s="37" t="s">
        <v>3777</v>
      </c>
      <c r="E711" s="37"/>
      <c r="F711" s="37" t="s">
        <v>3776</v>
      </c>
      <c r="G711" s="37" t="s">
        <v>3777</v>
      </c>
      <c r="H711" s="35"/>
      <c r="J711" s="35"/>
      <c r="K711" s="35"/>
      <c r="L711" s="35"/>
      <c r="M711" s="35"/>
      <c r="N711" s="35"/>
      <c r="O711" s="35"/>
      <c r="P711" s="35"/>
      <c r="Q711" s="35"/>
    </row>
    <row r="712" spans="1:17">
      <c r="A712" s="36" t="s">
        <v>1914</v>
      </c>
      <c r="B712" s="36" t="s">
        <v>3778</v>
      </c>
      <c r="C712" s="37" t="s">
        <v>2713</v>
      </c>
      <c r="D712" s="37" t="s">
        <v>2712</v>
      </c>
      <c r="E712" s="37"/>
      <c r="F712" s="37" t="s">
        <v>2713</v>
      </c>
      <c r="G712" s="37" t="s">
        <v>2712</v>
      </c>
      <c r="H712" s="35"/>
      <c r="J712" s="35"/>
      <c r="K712" s="35"/>
      <c r="L712" s="35"/>
      <c r="M712" s="35"/>
      <c r="N712" s="35"/>
      <c r="O712" s="35"/>
      <c r="P712" s="35"/>
      <c r="Q712" s="35"/>
    </row>
    <row r="713" spans="1:17">
      <c r="A713" s="36" t="s">
        <v>1916</v>
      </c>
      <c r="B713" s="36" t="s">
        <v>3779</v>
      </c>
      <c r="C713" s="37" t="s">
        <v>3780</v>
      </c>
      <c r="D713" s="37" t="s">
        <v>3781</v>
      </c>
      <c r="E713" s="37"/>
      <c r="F713" s="37" t="s">
        <v>3780</v>
      </c>
      <c r="G713" s="37" t="s">
        <v>3781</v>
      </c>
      <c r="H713" s="35"/>
      <c r="J713" s="35"/>
      <c r="K713" s="35"/>
      <c r="L713" s="35"/>
      <c r="M713" s="35"/>
      <c r="N713" s="35"/>
      <c r="O713" s="35"/>
      <c r="P713" s="35"/>
      <c r="Q713" s="35"/>
    </row>
    <row r="714" spans="1:17">
      <c r="A714" s="36" t="s">
        <v>1918</v>
      </c>
      <c r="B714" s="36" t="s">
        <v>3782</v>
      </c>
      <c r="C714" s="37" t="s">
        <v>3780</v>
      </c>
      <c r="D714" s="37" t="s">
        <v>3781</v>
      </c>
      <c r="E714" s="37"/>
      <c r="F714" s="37" t="s">
        <v>3780</v>
      </c>
      <c r="G714" s="37" t="s">
        <v>3781</v>
      </c>
      <c r="H714" s="35"/>
      <c r="J714" s="35"/>
      <c r="K714" s="35"/>
      <c r="L714" s="35"/>
      <c r="M714" s="35"/>
      <c r="N714" s="35"/>
      <c r="O714" s="35"/>
      <c r="P714" s="35"/>
      <c r="Q714" s="35"/>
    </row>
    <row r="715" spans="1:17">
      <c r="A715" s="36" t="s">
        <v>1920</v>
      </c>
      <c r="B715" s="36" t="s">
        <v>3783</v>
      </c>
      <c r="C715" s="37" t="s">
        <v>3780</v>
      </c>
      <c r="D715" s="37" t="s">
        <v>3781</v>
      </c>
      <c r="E715" s="37"/>
      <c r="F715" s="37" t="s">
        <v>3780</v>
      </c>
      <c r="G715" s="37" t="s">
        <v>3781</v>
      </c>
      <c r="H715" s="35"/>
      <c r="J715" s="35"/>
      <c r="K715" s="35"/>
      <c r="L715" s="35"/>
      <c r="M715" s="35"/>
      <c r="N715" s="35"/>
      <c r="O715" s="35"/>
      <c r="P715" s="35"/>
      <c r="Q715" s="35"/>
    </row>
    <row r="716" spans="1:17">
      <c r="A716" s="36" t="s">
        <v>1922</v>
      </c>
      <c r="B716" s="36" t="s">
        <v>3784</v>
      </c>
      <c r="C716" s="37" t="s">
        <v>2754</v>
      </c>
      <c r="D716" s="37" t="s">
        <v>2753</v>
      </c>
      <c r="E716" s="37"/>
      <c r="F716" s="37" t="s">
        <v>2754</v>
      </c>
      <c r="G716" s="37" t="s">
        <v>2753</v>
      </c>
      <c r="H716" s="35"/>
      <c r="J716" s="35"/>
      <c r="K716" s="35"/>
      <c r="L716" s="35"/>
      <c r="M716" s="35"/>
      <c r="N716" s="35"/>
      <c r="O716" s="35"/>
      <c r="P716" s="35"/>
      <c r="Q716" s="35"/>
    </row>
    <row r="717" spans="1:17">
      <c r="A717" s="36" t="s">
        <v>1924</v>
      </c>
      <c r="B717" s="36" t="s">
        <v>3785</v>
      </c>
      <c r="C717" s="37" t="s">
        <v>3786</v>
      </c>
      <c r="D717" s="37" t="s">
        <v>3787</v>
      </c>
      <c r="E717" s="37"/>
      <c r="F717" s="37" t="s">
        <v>3786</v>
      </c>
      <c r="G717" s="37" t="s">
        <v>3787</v>
      </c>
      <c r="H717" s="35"/>
      <c r="J717" s="35"/>
      <c r="K717" s="35"/>
      <c r="L717" s="35"/>
      <c r="M717" s="35"/>
      <c r="N717" s="35"/>
      <c r="O717" s="35"/>
      <c r="P717" s="35"/>
      <c r="Q717" s="35"/>
    </row>
    <row r="718" spans="1:17">
      <c r="A718" s="36" t="s">
        <v>1926</v>
      </c>
      <c r="B718" s="36" t="s">
        <v>3788</v>
      </c>
      <c r="C718" s="37" t="s">
        <v>3737</v>
      </c>
      <c r="D718" s="37" t="s">
        <v>3738</v>
      </c>
      <c r="E718" s="37"/>
      <c r="F718" s="37" t="s">
        <v>3737</v>
      </c>
      <c r="G718" s="37" t="s">
        <v>3738</v>
      </c>
      <c r="H718" s="35"/>
      <c r="J718" s="35"/>
      <c r="K718" s="35"/>
      <c r="L718" s="35"/>
      <c r="M718" s="35"/>
      <c r="N718" s="35"/>
      <c r="O718" s="35"/>
      <c r="P718" s="35"/>
      <c r="Q718" s="35"/>
    </row>
    <row r="719" spans="1:17">
      <c r="A719" s="36" t="s">
        <v>1928</v>
      </c>
      <c r="B719" s="36" t="s">
        <v>3789</v>
      </c>
      <c r="C719" s="37" t="s">
        <v>3790</v>
      </c>
      <c r="D719" s="37" t="s">
        <v>3791</v>
      </c>
      <c r="E719" s="37"/>
      <c r="F719" s="37" t="s">
        <v>3790</v>
      </c>
      <c r="G719" s="37" t="s">
        <v>3791</v>
      </c>
      <c r="H719" s="35"/>
      <c r="J719" s="35"/>
      <c r="K719" s="35"/>
      <c r="L719" s="35"/>
      <c r="M719" s="35"/>
      <c r="N719" s="35"/>
      <c r="O719" s="35"/>
      <c r="P719" s="35"/>
      <c r="Q719" s="35"/>
    </row>
    <row r="720" spans="1:17">
      <c r="A720" s="36" t="s">
        <v>1930</v>
      </c>
      <c r="B720" s="36" t="s">
        <v>3792</v>
      </c>
      <c r="C720" s="37" t="s">
        <v>3793</v>
      </c>
      <c r="D720" s="37" t="s">
        <v>3794</v>
      </c>
      <c r="E720" s="37"/>
      <c r="F720" s="37" t="s">
        <v>3793</v>
      </c>
      <c r="G720" s="37" t="s">
        <v>3794</v>
      </c>
      <c r="H720" s="35"/>
      <c r="J720" s="35"/>
      <c r="K720" s="35"/>
      <c r="L720" s="35"/>
      <c r="M720" s="35"/>
      <c r="N720" s="35"/>
      <c r="O720" s="35"/>
      <c r="P720" s="35"/>
      <c r="Q720" s="35"/>
    </row>
    <row r="721" spans="1:17">
      <c r="A721" s="36" t="s">
        <v>1932</v>
      </c>
      <c r="B721" s="36" t="s">
        <v>3795</v>
      </c>
      <c r="C721" s="37" t="s">
        <v>2909</v>
      </c>
      <c r="D721" s="37" t="s">
        <v>2908</v>
      </c>
      <c r="E721" s="37"/>
      <c r="F721" s="37" t="s">
        <v>2909</v>
      </c>
      <c r="G721" s="37" t="s">
        <v>2908</v>
      </c>
      <c r="H721" s="35"/>
      <c r="J721" s="35"/>
      <c r="K721" s="35"/>
      <c r="L721" s="35"/>
      <c r="M721" s="35"/>
      <c r="N721" s="35"/>
      <c r="O721" s="35"/>
      <c r="P721" s="35"/>
      <c r="Q721" s="35"/>
    </row>
    <row r="722" spans="1:17">
      <c r="A722" s="36" t="s">
        <v>1934</v>
      </c>
      <c r="B722" s="36" t="s">
        <v>3796</v>
      </c>
      <c r="C722" s="37" t="s">
        <v>3797</v>
      </c>
      <c r="D722" s="37" t="s">
        <v>3798</v>
      </c>
      <c r="E722" s="37"/>
      <c r="F722" s="37" t="s">
        <v>3797</v>
      </c>
      <c r="G722" s="37" t="s">
        <v>3798</v>
      </c>
      <c r="H722" s="35"/>
      <c r="J722" s="35"/>
      <c r="K722" s="35"/>
      <c r="L722" s="35"/>
      <c r="M722" s="35"/>
      <c r="N722" s="35"/>
      <c r="O722" s="35"/>
      <c r="P722" s="35"/>
      <c r="Q722" s="35"/>
    </row>
    <row r="723" spans="1:17">
      <c r="A723" s="36" t="s">
        <v>1936</v>
      </c>
      <c r="B723" s="36" t="s">
        <v>3799</v>
      </c>
      <c r="C723" s="37" t="s">
        <v>1236</v>
      </c>
      <c r="D723" s="37" t="s">
        <v>3243</v>
      </c>
      <c r="E723" s="37"/>
      <c r="F723" s="37" t="s">
        <v>1236</v>
      </c>
      <c r="G723" s="37" t="s">
        <v>3243</v>
      </c>
      <c r="H723" s="35"/>
      <c r="J723" s="35"/>
      <c r="K723" s="35"/>
      <c r="L723" s="35"/>
      <c r="M723" s="35"/>
      <c r="N723" s="35"/>
      <c r="O723" s="35"/>
      <c r="P723" s="35"/>
      <c r="Q723" s="35"/>
    </row>
    <row r="724" spans="1:17">
      <c r="A724" s="36" t="s">
        <v>1938</v>
      </c>
      <c r="B724" s="36" t="s">
        <v>3800</v>
      </c>
      <c r="C724" s="37" t="s">
        <v>2744</v>
      </c>
      <c r="D724" s="37" t="s">
        <v>2743</v>
      </c>
      <c r="E724" s="37"/>
      <c r="F724" s="37" t="s">
        <v>2744</v>
      </c>
      <c r="G724" s="37" t="s">
        <v>2743</v>
      </c>
      <c r="H724" s="35"/>
      <c r="J724" s="35"/>
      <c r="K724" s="35"/>
      <c r="L724" s="35"/>
      <c r="M724" s="35"/>
      <c r="N724" s="35"/>
      <c r="O724" s="35"/>
      <c r="P724" s="35"/>
      <c r="Q724" s="35"/>
    </row>
    <row r="725" spans="1:17">
      <c r="A725" s="36" t="s">
        <v>1940</v>
      </c>
      <c r="B725" s="36" t="s">
        <v>3801</v>
      </c>
      <c r="C725" s="37" t="s">
        <v>3010</v>
      </c>
      <c r="D725" s="37" t="s">
        <v>3009</v>
      </c>
      <c r="E725" s="37"/>
      <c r="F725" s="37" t="s">
        <v>3010</v>
      </c>
      <c r="G725" s="37" t="s">
        <v>3009</v>
      </c>
      <c r="H725" s="35"/>
      <c r="J725" s="35"/>
      <c r="K725" s="35"/>
      <c r="L725" s="35"/>
      <c r="M725" s="35"/>
      <c r="N725" s="35"/>
      <c r="O725" s="35"/>
      <c r="P725" s="35"/>
      <c r="Q725" s="35"/>
    </row>
    <row r="726" spans="1:17">
      <c r="A726" s="36" t="s">
        <v>1942</v>
      </c>
      <c r="B726" s="36" t="s">
        <v>3802</v>
      </c>
      <c r="C726" s="37" t="s">
        <v>1574</v>
      </c>
      <c r="D726" s="37" t="s">
        <v>3803</v>
      </c>
      <c r="E726" s="37"/>
      <c r="F726" s="37" t="s">
        <v>1574</v>
      </c>
      <c r="G726" s="37" t="s">
        <v>3803</v>
      </c>
      <c r="H726" s="35"/>
      <c r="J726" s="35"/>
      <c r="K726" s="35"/>
      <c r="L726" s="35"/>
      <c r="M726" s="35"/>
      <c r="N726" s="35"/>
      <c r="O726" s="35"/>
      <c r="P726" s="35"/>
      <c r="Q726" s="35"/>
    </row>
    <row r="727" spans="1:17">
      <c r="A727" s="36" t="s">
        <v>1944</v>
      </c>
      <c r="B727" s="36" t="s">
        <v>3804</v>
      </c>
      <c r="C727" s="37" t="s">
        <v>3805</v>
      </c>
      <c r="D727" s="37" t="s">
        <v>3806</v>
      </c>
      <c r="E727" s="37"/>
      <c r="F727" s="37" t="s">
        <v>3805</v>
      </c>
      <c r="G727" s="37" t="s">
        <v>3806</v>
      </c>
      <c r="H727" s="35"/>
      <c r="J727" s="35"/>
      <c r="K727" s="35"/>
      <c r="L727" s="35"/>
      <c r="M727" s="35"/>
      <c r="N727" s="35"/>
      <c r="O727" s="35"/>
      <c r="P727" s="35"/>
      <c r="Q727" s="35"/>
    </row>
    <row r="728" spans="1:17">
      <c r="A728" s="36" t="s">
        <v>1946</v>
      </c>
      <c r="B728" s="36" t="s">
        <v>3807</v>
      </c>
      <c r="C728" s="37" t="s">
        <v>3808</v>
      </c>
      <c r="D728" s="37" t="s">
        <v>3809</v>
      </c>
      <c r="E728" s="37"/>
      <c r="F728" s="37" t="s">
        <v>3808</v>
      </c>
      <c r="G728" s="37" t="s">
        <v>3809</v>
      </c>
      <c r="H728" s="35"/>
      <c r="J728" s="35"/>
      <c r="K728" s="35"/>
      <c r="L728" s="35"/>
      <c r="M728" s="35"/>
      <c r="N728" s="35"/>
      <c r="O728" s="35"/>
      <c r="P728" s="35"/>
      <c r="Q728" s="35"/>
    </row>
    <row r="729" spans="1:17">
      <c r="A729" s="36" t="s">
        <v>1948</v>
      </c>
      <c r="B729" s="36" t="s">
        <v>3810</v>
      </c>
      <c r="C729" s="37" t="s">
        <v>3811</v>
      </c>
      <c r="D729" s="37" t="s">
        <v>3812</v>
      </c>
      <c r="E729" s="37"/>
      <c r="F729" s="37" t="s">
        <v>3811</v>
      </c>
      <c r="G729" s="37" t="s">
        <v>3812</v>
      </c>
      <c r="H729" s="35"/>
      <c r="J729" s="35"/>
      <c r="K729" s="35"/>
      <c r="L729" s="35"/>
      <c r="M729" s="35"/>
      <c r="N729" s="35"/>
      <c r="O729" s="35"/>
      <c r="P729" s="35"/>
      <c r="Q729" s="35"/>
    </row>
    <row r="730" spans="1:17">
      <c r="A730" s="36" t="s">
        <v>1950</v>
      </c>
      <c r="B730" s="36" t="s">
        <v>3813</v>
      </c>
      <c r="C730" s="37" t="s">
        <v>2612</v>
      </c>
      <c r="D730" s="37" t="s">
        <v>2611</v>
      </c>
      <c r="E730" s="37"/>
      <c r="F730" s="37" t="s">
        <v>4787</v>
      </c>
      <c r="G730" s="37" t="s">
        <v>4786</v>
      </c>
      <c r="H730" s="35"/>
      <c r="J730" s="35"/>
      <c r="K730" s="35"/>
      <c r="L730" s="35"/>
      <c r="M730" s="35"/>
      <c r="N730" s="35"/>
      <c r="O730" s="35"/>
      <c r="P730" s="35"/>
      <c r="Q730" s="35"/>
    </row>
    <row r="731" spans="1:17">
      <c r="A731" s="36" t="s">
        <v>3814</v>
      </c>
      <c r="B731" s="36" t="s">
        <v>3815</v>
      </c>
      <c r="C731" s="37"/>
      <c r="D731" s="37"/>
      <c r="E731" s="37"/>
      <c r="F731" s="37"/>
      <c r="G731" s="37"/>
      <c r="H731" s="35"/>
      <c r="J731" s="35"/>
      <c r="K731" s="35"/>
      <c r="L731" s="35"/>
      <c r="M731" s="35"/>
      <c r="N731" s="35"/>
      <c r="O731" s="35"/>
      <c r="P731" s="35"/>
      <c r="Q731" s="35"/>
    </row>
    <row r="732" spans="1:17">
      <c r="A732" s="36" t="s">
        <v>1952</v>
      </c>
      <c r="B732" s="36" t="s">
        <v>3816</v>
      </c>
      <c r="C732" s="37" t="s">
        <v>3615</v>
      </c>
      <c r="D732" s="37" t="s">
        <v>3616</v>
      </c>
      <c r="E732" s="37"/>
      <c r="F732" s="37" t="s">
        <v>3615</v>
      </c>
      <c r="G732" s="37" t="s">
        <v>3616</v>
      </c>
      <c r="H732" s="35"/>
      <c r="J732" s="35"/>
      <c r="K732" s="35"/>
      <c r="L732" s="35"/>
      <c r="M732" s="35"/>
      <c r="N732" s="35"/>
      <c r="O732" s="35"/>
      <c r="P732" s="35"/>
      <c r="Q732" s="35"/>
    </row>
    <row r="733" spans="1:17">
      <c r="A733" s="36" t="s">
        <v>1954</v>
      </c>
      <c r="B733" s="36" t="s">
        <v>3817</v>
      </c>
      <c r="C733" s="37" t="s">
        <v>3615</v>
      </c>
      <c r="D733" s="37" t="s">
        <v>3616</v>
      </c>
      <c r="E733" s="37"/>
      <c r="F733" s="37" t="s">
        <v>3615</v>
      </c>
      <c r="G733" s="37" t="s">
        <v>3616</v>
      </c>
      <c r="H733" s="35"/>
      <c r="J733" s="35"/>
      <c r="K733" s="35"/>
      <c r="L733" s="35"/>
      <c r="M733" s="35"/>
      <c r="N733" s="35"/>
      <c r="O733" s="35"/>
      <c r="P733" s="35"/>
      <c r="Q733" s="35"/>
    </row>
    <row r="734" spans="1:17">
      <c r="A734" s="36" t="s">
        <v>1956</v>
      </c>
      <c r="B734" s="36" t="s">
        <v>3818</v>
      </c>
      <c r="C734" s="37" t="s">
        <v>3615</v>
      </c>
      <c r="D734" s="37" t="s">
        <v>3616</v>
      </c>
      <c r="E734" s="37"/>
      <c r="F734" s="37" t="s">
        <v>3615</v>
      </c>
      <c r="G734" s="37" t="s">
        <v>3616</v>
      </c>
      <c r="H734" s="35"/>
      <c r="J734" s="35"/>
      <c r="K734" s="35"/>
      <c r="L734" s="35"/>
      <c r="M734" s="35"/>
      <c r="N734" s="35"/>
      <c r="O734" s="35"/>
      <c r="P734" s="35"/>
      <c r="Q734" s="35"/>
    </row>
    <row r="735" spans="1:17">
      <c r="A735" s="36" t="s">
        <v>1958</v>
      </c>
      <c r="B735" s="36" t="s">
        <v>3819</v>
      </c>
      <c r="C735" s="37" t="s">
        <v>2742</v>
      </c>
      <c r="D735" s="37" t="s">
        <v>2741</v>
      </c>
      <c r="E735" s="37"/>
      <c r="F735" s="37" t="s">
        <v>2742</v>
      </c>
      <c r="G735" s="37" t="s">
        <v>2741</v>
      </c>
      <c r="H735" s="35"/>
      <c r="J735" s="35"/>
      <c r="K735" s="35"/>
      <c r="L735" s="35"/>
      <c r="M735" s="35"/>
      <c r="N735" s="35"/>
      <c r="O735" s="35"/>
      <c r="P735" s="35"/>
      <c r="Q735" s="35"/>
    </row>
    <row r="736" spans="1:17">
      <c r="A736" s="36" t="s">
        <v>1960</v>
      </c>
      <c r="B736" s="36" t="s">
        <v>3820</v>
      </c>
      <c r="C736" s="37" t="s">
        <v>3821</v>
      </c>
      <c r="D736" s="37" t="s">
        <v>3822</v>
      </c>
      <c r="E736" s="37"/>
      <c r="F736" s="37" t="s">
        <v>3821</v>
      </c>
      <c r="G736" s="37" t="s">
        <v>3822</v>
      </c>
      <c r="H736" s="35"/>
      <c r="J736" s="35"/>
      <c r="K736" s="35"/>
      <c r="L736" s="35"/>
      <c r="M736" s="35"/>
      <c r="N736" s="35"/>
      <c r="O736" s="35"/>
      <c r="P736" s="35"/>
      <c r="Q736" s="35"/>
    </row>
    <row r="737" spans="1:17">
      <c r="A737" s="36" t="s">
        <v>1962</v>
      </c>
      <c r="B737" s="36" t="s">
        <v>3823</v>
      </c>
      <c r="C737" s="37" t="s">
        <v>3773</v>
      </c>
      <c r="D737" s="37" t="s">
        <v>3774</v>
      </c>
      <c r="E737" s="37"/>
      <c r="F737" s="37" t="s">
        <v>3773</v>
      </c>
      <c r="G737" s="37" t="s">
        <v>3774</v>
      </c>
      <c r="H737" s="35"/>
      <c r="J737" s="35"/>
      <c r="K737" s="35"/>
      <c r="L737" s="35"/>
      <c r="M737" s="35"/>
      <c r="N737" s="35"/>
      <c r="O737" s="35"/>
      <c r="P737" s="35"/>
      <c r="Q737" s="35"/>
    </row>
    <row r="738" spans="1:17">
      <c r="A738" s="36" t="s">
        <v>1964</v>
      </c>
      <c r="B738" s="36" t="s">
        <v>3824</v>
      </c>
      <c r="C738" s="37" t="s">
        <v>3773</v>
      </c>
      <c r="D738" s="37" t="s">
        <v>3774</v>
      </c>
      <c r="E738" s="37"/>
      <c r="F738" s="37" t="s">
        <v>3773</v>
      </c>
      <c r="G738" s="37" t="s">
        <v>3774</v>
      </c>
      <c r="H738" s="35"/>
      <c r="J738" s="35"/>
      <c r="K738" s="35"/>
      <c r="L738" s="35"/>
      <c r="M738" s="35"/>
      <c r="N738" s="35"/>
      <c r="O738" s="35"/>
      <c r="P738" s="35"/>
      <c r="Q738" s="35"/>
    </row>
    <row r="739" spans="1:17">
      <c r="A739" s="36" t="s">
        <v>1966</v>
      </c>
      <c r="B739" s="36" t="s">
        <v>3825</v>
      </c>
      <c r="C739" s="37" t="s">
        <v>3826</v>
      </c>
      <c r="D739" s="37" t="s">
        <v>3827</v>
      </c>
      <c r="E739" s="37"/>
      <c r="F739" s="37" t="s">
        <v>3826</v>
      </c>
      <c r="G739" s="37" t="s">
        <v>3827</v>
      </c>
      <c r="H739" s="35"/>
      <c r="J739" s="35"/>
      <c r="K739" s="35"/>
      <c r="L739" s="35"/>
      <c r="M739" s="35"/>
      <c r="N739" s="35"/>
      <c r="O739" s="35"/>
      <c r="P739" s="35"/>
      <c r="Q739" s="35"/>
    </row>
    <row r="740" spans="1:17">
      <c r="A740" s="36" t="s">
        <v>1968</v>
      </c>
      <c r="B740" s="36" t="s">
        <v>3828</v>
      </c>
      <c r="C740" s="37" t="s">
        <v>2915</v>
      </c>
      <c r="D740" s="37" t="s">
        <v>2914</v>
      </c>
      <c r="E740" s="37"/>
      <c r="F740" s="37" t="s">
        <v>2915</v>
      </c>
      <c r="G740" s="37" t="s">
        <v>2914</v>
      </c>
      <c r="H740" s="35"/>
      <c r="J740" s="35"/>
      <c r="K740" s="35"/>
      <c r="L740" s="35"/>
      <c r="M740" s="35"/>
      <c r="N740" s="35"/>
      <c r="O740" s="35"/>
      <c r="P740" s="35"/>
      <c r="Q740" s="35"/>
    </row>
    <row r="741" spans="1:17">
      <c r="A741" s="36" t="s">
        <v>1970</v>
      </c>
      <c r="B741" s="36" t="s">
        <v>3829</v>
      </c>
      <c r="C741" s="37" t="s">
        <v>2915</v>
      </c>
      <c r="D741" s="37" t="s">
        <v>2914</v>
      </c>
      <c r="E741" s="37"/>
      <c r="F741" s="37" t="s">
        <v>2915</v>
      </c>
      <c r="G741" s="37" t="s">
        <v>2914</v>
      </c>
      <c r="H741" s="35"/>
      <c r="J741" s="35"/>
      <c r="K741" s="35"/>
      <c r="L741" s="35"/>
      <c r="M741" s="35"/>
      <c r="N741" s="35"/>
      <c r="O741" s="35"/>
      <c r="P741" s="35"/>
      <c r="Q741" s="35"/>
    </row>
    <row r="742" spans="1:17">
      <c r="A742" s="36" t="s">
        <v>1972</v>
      </c>
      <c r="B742" s="36" t="s">
        <v>3830</v>
      </c>
      <c r="C742" s="37" t="s">
        <v>2915</v>
      </c>
      <c r="D742" s="37" t="s">
        <v>2914</v>
      </c>
      <c r="E742" s="37"/>
      <c r="F742" s="37" t="s">
        <v>2915</v>
      </c>
      <c r="G742" s="37" t="s">
        <v>2914</v>
      </c>
      <c r="H742" s="35"/>
      <c r="J742" s="35"/>
      <c r="K742" s="35"/>
      <c r="L742" s="35"/>
      <c r="M742" s="35"/>
      <c r="N742" s="35"/>
      <c r="O742" s="35"/>
      <c r="P742" s="35"/>
      <c r="Q742" s="35"/>
    </row>
    <row r="743" spans="1:17">
      <c r="A743" s="36" t="s">
        <v>1974</v>
      </c>
      <c r="B743" s="36" t="s">
        <v>3831</v>
      </c>
      <c r="C743" s="37" t="s">
        <v>2915</v>
      </c>
      <c r="D743" s="37" t="s">
        <v>2914</v>
      </c>
      <c r="E743" s="37"/>
      <c r="F743" s="37" t="s">
        <v>2915</v>
      </c>
      <c r="G743" s="37" t="s">
        <v>2914</v>
      </c>
      <c r="H743" s="35"/>
      <c r="J743" s="35"/>
      <c r="K743" s="35"/>
      <c r="L743" s="35"/>
      <c r="M743" s="35"/>
      <c r="N743" s="35"/>
      <c r="O743" s="35"/>
      <c r="P743" s="35"/>
      <c r="Q743" s="35"/>
    </row>
    <row r="744" spans="1:17">
      <c r="A744" s="36" t="s">
        <v>1976</v>
      </c>
      <c r="B744" s="36" t="s">
        <v>3832</v>
      </c>
      <c r="C744" s="37" t="s">
        <v>2915</v>
      </c>
      <c r="D744" s="37" t="s">
        <v>2914</v>
      </c>
      <c r="E744" s="37"/>
      <c r="F744" s="37" t="s">
        <v>2915</v>
      </c>
      <c r="G744" s="37" t="s">
        <v>2914</v>
      </c>
      <c r="H744" s="35"/>
      <c r="J744" s="35"/>
      <c r="K744" s="35"/>
      <c r="L744" s="35"/>
      <c r="M744" s="35"/>
      <c r="N744" s="35"/>
      <c r="O744" s="35"/>
      <c r="P744" s="35"/>
      <c r="Q744" s="35"/>
    </row>
    <row r="745" spans="1:17">
      <c r="A745" s="36" t="s">
        <v>1978</v>
      </c>
      <c r="B745" s="36" t="s">
        <v>3833</v>
      </c>
      <c r="C745" s="37" t="s">
        <v>2915</v>
      </c>
      <c r="D745" s="37" t="s">
        <v>2914</v>
      </c>
      <c r="E745" s="37"/>
      <c r="F745" s="37" t="s">
        <v>2915</v>
      </c>
      <c r="G745" s="37" t="s">
        <v>2914</v>
      </c>
      <c r="H745" s="35"/>
      <c r="J745" s="35"/>
      <c r="K745" s="35"/>
      <c r="L745" s="35"/>
      <c r="M745" s="35"/>
      <c r="N745" s="35"/>
      <c r="O745" s="35"/>
      <c r="P745" s="35"/>
      <c r="Q745" s="35"/>
    </row>
    <row r="746" spans="1:17">
      <c r="A746" s="36" t="s">
        <v>1980</v>
      </c>
      <c r="B746" s="36" t="s">
        <v>3834</v>
      </c>
      <c r="C746" s="37" t="s">
        <v>2915</v>
      </c>
      <c r="D746" s="37" t="s">
        <v>2914</v>
      </c>
      <c r="E746" s="37"/>
      <c r="F746" s="37" t="s">
        <v>2915</v>
      </c>
      <c r="G746" s="37" t="s">
        <v>2914</v>
      </c>
      <c r="H746" s="35"/>
      <c r="J746" s="35"/>
      <c r="K746" s="35"/>
      <c r="L746" s="35"/>
      <c r="M746" s="35"/>
      <c r="N746" s="35"/>
      <c r="O746" s="35"/>
      <c r="P746" s="35"/>
      <c r="Q746" s="35"/>
    </row>
    <row r="747" spans="1:17">
      <c r="A747" s="36" t="s">
        <v>1982</v>
      </c>
      <c r="B747" s="36" t="s">
        <v>3835</v>
      </c>
      <c r="C747" s="37" t="s">
        <v>2915</v>
      </c>
      <c r="D747" s="37" t="s">
        <v>2914</v>
      </c>
      <c r="E747" s="37"/>
      <c r="F747" s="37" t="s">
        <v>2915</v>
      </c>
      <c r="G747" s="37" t="s">
        <v>2914</v>
      </c>
      <c r="H747" s="35"/>
      <c r="J747" s="35"/>
      <c r="K747" s="35"/>
      <c r="L747" s="35"/>
      <c r="M747" s="35"/>
      <c r="N747" s="35"/>
      <c r="O747" s="35"/>
      <c r="P747" s="35"/>
      <c r="Q747" s="35"/>
    </row>
    <row r="748" spans="1:17">
      <c r="A748" s="36" t="s">
        <v>1984</v>
      </c>
      <c r="B748" s="36" t="s">
        <v>3836</v>
      </c>
      <c r="C748" s="37" t="s">
        <v>2915</v>
      </c>
      <c r="D748" s="37" t="s">
        <v>2914</v>
      </c>
      <c r="E748" s="37"/>
      <c r="F748" s="37" t="s">
        <v>2915</v>
      </c>
      <c r="G748" s="37" t="s">
        <v>2914</v>
      </c>
      <c r="H748" s="35"/>
      <c r="J748" s="35"/>
      <c r="K748" s="35"/>
      <c r="L748" s="35"/>
      <c r="M748" s="35"/>
      <c r="N748" s="35"/>
      <c r="O748" s="35"/>
      <c r="P748" s="35"/>
      <c r="Q748" s="35"/>
    </row>
    <row r="749" spans="1:17">
      <c r="A749" s="36" t="s">
        <v>1986</v>
      </c>
      <c r="B749" s="36" t="s">
        <v>3837</v>
      </c>
      <c r="C749" s="37" t="s">
        <v>2915</v>
      </c>
      <c r="D749" s="37" t="s">
        <v>2914</v>
      </c>
      <c r="E749" s="37"/>
      <c r="F749" s="37" t="s">
        <v>2915</v>
      </c>
      <c r="G749" s="37" t="s">
        <v>2914</v>
      </c>
      <c r="H749" s="35"/>
      <c r="J749" s="35"/>
      <c r="K749" s="35"/>
      <c r="L749" s="35"/>
      <c r="M749" s="35"/>
      <c r="N749" s="35"/>
      <c r="O749" s="35"/>
      <c r="P749" s="35"/>
      <c r="Q749" s="35"/>
    </row>
    <row r="750" spans="1:17">
      <c r="A750" s="36" t="s">
        <v>1988</v>
      </c>
      <c r="B750" s="36" t="s">
        <v>3838</v>
      </c>
      <c r="C750" s="37" t="s">
        <v>3839</v>
      </c>
      <c r="D750" s="37" t="s">
        <v>3840</v>
      </c>
      <c r="E750" s="37"/>
      <c r="F750" s="37" t="s">
        <v>3839</v>
      </c>
      <c r="G750" s="37" t="s">
        <v>3840</v>
      </c>
      <c r="H750" s="35"/>
      <c r="J750" s="35"/>
      <c r="K750" s="35"/>
      <c r="L750" s="35"/>
      <c r="M750" s="35"/>
      <c r="N750" s="35"/>
      <c r="O750" s="35"/>
      <c r="P750" s="35"/>
      <c r="Q750" s="35"/>
    </row>
    <row r="751" spans="1:17">
      <c r="A751" s="36" t="s">
        <v>1990</v>
      </c>
      <c r="B751" s="36" t="s">
        <v>3841</v>
      </c>
      <c r="C751" s="37" t="s">
        <v>2616</v>
      </c>
      <c r="D751" s="37" t="s">
        <v>2617</v>
      </c>
      <c r="E751" s="37"/>
      <c r="F751" s="37" t="s">
        <v>2616</v>
      </c>
      <c r="G751" s="37" t="s">
        <v>2617</v>
      </c>
      <c r="H751" s="35"/>
      <c r="J751" s="35"/>
      <c r="K751" s="35"/>
      <c r="L751" s="35"/>
      <c r="M751" s="35"/>
      <c r="N751" s="35"/>
      <c r="O751" s="35"/>
      <c r="P751" s="35"/>
      <c r="Q751" s="35"/>
    </row>
    <row r="752" spans="1:17">
      <c r="A752" s="36" t="s">
        <v>1992</v>
      </c>
      <c r="B752" s="36" t="s">
        <v>3842</v>
      </c>
      <c r="C752" s="37" t="s">
        <v>1150</v>
      </c>
      <c r="D752" s="37" t="s">
        <v>3843</v>
      </c>
      <c r="E752" s="37"/>
      <c r="F752" s="37" t="s">
        <v>1150</v>
      </c>
      <c r="G752" s="37" t="s">
        <v>3843</v>
      </c>
      <c r="H752" s="35"/>
      <c r="J752" s="35"/>
      <c r="K752" s="35"/>
      <c r="L752" s="35"/>
      <c r="M752" s="35"/>
      <c r="N752" s="35"/>
      <c r="O752" s="35"/>
      <c r="P752" s="35"/>
      <c r="Q752" s="35"/>
    </row>
    <row r="753" spans="1:17">
      <c r="A753" s="36" t="s">
        <v>1994</v>
      </c>
      <c r="B753" s="36" t="s">
        <v>3844</v>
      </c>
      <c r="C753" s="37" t="s">
        <v>2713</v>
      </c>
      <c r="D753" s="37" t="s">
        <v>2712</v>
      </c>
      <c r="E753" s="37"/>
      <c r="F753" s="37" t="s">
        <v>2713</v>
      </c>
      <c r="G753" s="37" t="s">
        <v>2712</v>
      </c>
      <c r="H753" s="35"/>
      <c r="J753" s="35"/>
      <c r="K753" s="35"/>
      <c r="L753" s="35"/>
      <c r="M753" s="35"/>
      <c r="N753" s="35"/>
      <c r="O753" s="35"/>
      <c r="P753" s="35"/>
      <c r="Q753" s="35"/>
    </row>
    <row r="754" spans="1:17">
      <c r="A754" s="36" t="s">
        <v>1996</v>
      </c>
      <c r="B754" s="36" t="s">
        <v>3845</v>
      </c>
      <c r="C754" s="37" t="s">
        <v>2612</v>
      </c>
      <c r="D754" s="37" t="s">
        <v>2611</v>
      </c>
      <c r="E754" s="37"/>
      <c r="F754" s="37" t="s">
        <v>4787</v>
      </c>
      <c r="G754" s="37" t="s">
        <v>4786</v>
      </c>
      <c r="H754" s="35"/>
      <c r="J754" s="35"/>
      <c r="K754" s="35"/>
      <c r="L754" s="35"/>
      <c r="M754" s="35"/>
      <c r="N754" s="35"/>
      <c r="O754" s="35"/>
      <c r="P754" s="35"/>
      <c r="Q754" s="35"/>
    </row>
    <row r="755" spans="1:17">
      <c r="A755" s="36" t="s">
        <v>1998</v>
      </c>
      <c r="B755" s="36" t="s">
        <v>3846</v>
      </c>
      <c r="C755" s="37" t="s">
        <v>2486</v>
      </c>
      <c r="D755" s="37" t="s">
        <v>2681</v>
      </c>
      <c r="E755" s="37"/>
      <c r="F755" s="37" t="s">
        <v>2486</v>
      </c>
      <c r="G755" s="37" t="s">
        <v>2681</v>
      </c>
      <c r="H755" s="35"/>
      <c r="J755" s="35"/>
      <c r="K755" s="35"/>
      <c r="L755" s="35"/>
      <c r="M755" s="35"/>
      <c r="N755" s="35"/>
      <c r="O755" s="35"/>
      <c r="P755" s="35"/>
      <c r="Q755" s="35"/>
    </row>
    <row r="756" spans="1:17">
      <c r="A756" s="36" t="s">
        <v>2000</v>
      </c>
      <c r="B756" s="36" t="s">
        <v>3847</v>
      </c>
      <c r="C756" s="37" t="s">
        <v>2915</v>
      </c>
      <c r="D756" s="37" t="s">
        <v>2914</v>
      </c>
      <c r="E756" s="37"/>
      <c r="F756" s="37" t="s">
        <v>2915</v>
      </c>
      <c r="G756" s="37" t="s">
        <v>2914</v>
      </c>
      <c r="H756" s="35"/>
      <c r="J756" s="35"/>
      <c r="K756" s="35"/>
      <c r="L756" s="35"/>
      <c r="M756" s="35"/>
      <c r="N756" s="35"/>
      <c r="O756" s="35"/>
      <c r="P756" s="35"/>
      <c r="Q756" s="35"/>
    </row>
    <row r="757" spans="1:17">
      <c r="A757" s="36" t="s">
        <v>2002</v>
      </c>
      <c r="B757" s="36" t="s">
        <v>3848</v>
      </c>
      <c r="C757" s="37" t="s">
        <v>2915</v>
      </c>
      <c r="D757" s="37" t="s">
        <v>2914</v>
      </c>
      <c r="E757" s="37"/>
      <c r="F757" s="37" t="s">
        <v>2915</v>
      </c>
      <c r="G757" s="37" t="s">
        <v>2914</v>
      </c>
      <c r="H757" s="35"/>
      <c r="J757" s="35"/>
      <c r="K757" s="35"/>
      <c r="L757" s="35"/>
      <c r="M757" s="35"/>
      <c r="N757" s="35"/>
      <c r="O757" s="35"/>
      <c r="P757" s="35"/>
      <c r="Q757" s="35"/>
    </row>
    <row r="758" spans="1:17">
      <c r="A758" s="36" t="s">
        <v>2004</v>
      </c>
      <c r="B758" s="36" t="s">
        <v>3849</v>
      </c>
      <c r="C758" s="37" t="s">
        <v>2909</v>
      </c>
      <c r="D758" s="37" t="s">
        <v>2908</v>
      </c>
      <c r="E758" s="37"/>
      <c r="F758" s="37" t="s">
        <v>2909</v>
      </c>
      <c r="G758" s="37" t="s">
        <v>2908</v>
      </c>
      <c r="H758" s="35"/>
      <c r="J758" s="35"/>
      <c r="K758" s="35"/>
      <c r="L758" s="35"/>
      <c r="M758" s="35"/>
      <c r="N758" s="35"/>
      <c r="O758" s="35"/>
      <c r="P758" s="35"/>
      <c r="Q758" s="35"/>
    </row>
    <row r="759" spans="1:17">
      <c r="A759" s="36" t="s">
        <v>2006</v>
      </c>
      <c r="B759" s="36" t="s">
        <v>3850</v>
      </c>
      <c r="C759" s="37" t="s">
        <v>3851</v>
      </c>
      <c r="D759" s="37" t="s">
        <v>3852</v>
      </c>
      <c r="E759" s="37"/>
      <c r="F759" s="37" t="s">
        <v>3851</v>
      </c>
      <c r="G759" s="37" t="s">
        <v>3852</v>
      </c>
      <c r="H759" s="35"/>
      <c r="J759" s="35"/>
      <c r="K759" s="35"/>
      <c r="L759" s="35"/>
      <c r="M759" s="35"/>
      <c r="N759" s="35"/>
      <c r="O759" s="35"/>
      <c r="P759" s="35"/>
      <c r="Q759" s="35"/>
    </row>
    <row r="760" spans="1:17">
      <c r="A760" s="36" t="s">
        <v>2008</v>
      </c>
      <c r="B760" s="36" t="s">
        <v>3853</v>
      </c>
      <c r="C760" s="37" t="s">
        <v>3854</v>
      </c>
      <c r="D760" s="37" t="s">
        <v>3855</v>
      </c>
      <c r="E760" s="37"/>
      <c r="F760" s="37" t="s">
        <v>3854</v>
      </c>
      <c r="G760" s="37" t="s">
        <v>3855</v>
      </c>
      <c r="H760" s="35"/>
      <c r="J760" s="35"/>
      <c r="K760" s="35"/>
      <c r="L760" s="35"/>
      <c r="M760" s="35"/>
      <c r="N760" s="35"/>
      <c r="O760" s="35"/>
      <c r="P760" s="35"/>
      <c r="Q760" s="35"/>
    </row>
    <row r="761" spans="1:17">
      <c r="A761" s="36" t="s">
        <v>2010</v>
      </c>
      <c r="B761" s="36" t="s">
        <v>3856</v>
      </c>
      <c r="C761" s="37" t="s">
        <v>3857</v>
      </c>
      <c r="D761" s="37" t="s">
        <v>3858</v>
      </c>
      <c r="E761" s="37"/>
      <c r="F761" s="37" t="s">
        <v>3857</v>
      </c>
      <c r="G761" s="37" t="s">
        <v>3858</v>
      </c>
      <c r="H761" s="35"/>
      <c r="J761" s="35"/>
      <c r="K761" s="35"/>
      <c r="L761" s="35"/>
      <c r="M761" s="35"/>
      <c r="N761" s="35"/>
      <c r="O761" s="35"/>
      <c r="P761" s="35"/>
      <c r="Q761" s="35"/>
    </row>
    <row r="762" spans="1:17">
      <c r="A762" s="36" t="s">
        <v>2012</v>
      </c>
      <c r="B762" s="36" t="s">
        <v>3859</v>
      </c>
      <c r="C762" s="37" t="s">
        <v>3860</v>
      </c>
      <c r="D762" s="37" t="s">
        <v>3861</v>
      </c>
      <c r="E762" s="37"/>
      <c r="F762" s="37" t="s">
        <v>3860</v>
      </c>
      <c r="G762" s="37" t="s">
        <v>3861</v>
      </c>
      <c r="H762" s="35"/>
      <c r="J762" s="35"/>
      <c r="K762" s="35"/>
      <c r="L762" s="35"/>
      <c r="M762" s="35"/>
      <c r="N762" s="35"/>
      <c r="O762" s="35"/>
      <c r="P762" s="35"/>
      <c r="Q762" s="35"/>
    </row>
    <row r="763" spans="1:17">
      <c r="A763" s="36" t="s">
        <v>2014</v>
      </c>
      <c r="B763" s="36" t="s">
        <v>3862</v>
      </c>
      <c r="C763" s="37" t="s">
        <v>2612</v>
      </c>
      <c r="D763" s="37" t="s">
        <v>2611</v>
      </c>
      <c r="E763" s="37"/>
      <c r="F763" s="37" t="s">
        <v>4787</v>
      </c>
      <c r="G763" s="37" t="s">
        <v>4786</v>
      </c>
      <c r="H763" s="35"/>
      <c r="J763" s="35"/>
      <c r="K763" s="35"/>
      <c r="L763" s="35"/>
      <c r="M763" s="35"/>
      <c r="N763" s="35"/>
      <c r="O763" s="35"/>
      <c r="P763" s="35"/>
      <c r="Q763" s="35"/>
    </row>
    <row r="764" spans="1:17">
      <c r="A764" s="36" t="s">
        <v>3863</v>
      </c>
      <c r="B764" s="36" t="s">
        <v>3864</v>
      </c>
      <c r="C764" s="37"/>
      <c r="D764" s="37"/>
      <c r="E764" s="37"/>
      <c r="F764" s="37"/>
      <c r="G764" s="37"/>
      <c r="H764" s="35"/>
      <c r="J764" s="35"/>
      <c r="K764" s="35"/>
      <c r="L764" s="35"/>
      <c r="M764" s="35"/>
      <c r="N764" s="35"/>
      <c r="O764" s="35"/>
      <c r="P764" s="35"/>
      <c r="Q764" s="35"/>
    </row>
    <row r="765" spans="1:17">
      <c r="A765" s="36" t="s">
        <v>3865</v>
      </c>
      <c r="B765" s="36" t="s">
        <v>3866</v>
      </c>
      <c r="C765" s="37"/>
      <c r="D765" s="37"/>
      <c r="E765" s="37"/>
      <c r="F765" s="37"/>
      <c r="G765" s="37"/>
      <c r="H765" s="35"/>
      <c r="J765" s="35"/>
      <c r="K765" s="35"/>
      <c r="L765" s="35"/>
      <c r="M765" s="35"/>
      <c r="N765" s="35"/>
      <c r="O765" s="35"/>
      <c r="P765" s="35"/>
      <c r="Q765" s="35"/>
    </row>
    <row r="766" spans="1:17">
      <c r="A766" s="36" t="s">
        <v>2016</v>
      </c>
      <c r="B766" s="36" t="s">
        <v>3867</v>
      </c>
      <c r="C766" s="37" t="s">
        <v>3793</v>
      </c>
      <c r="D766" s="37" t="s">
        <v>3794</v>
      </c>
      <c r="E766" s="37"/>
      <c r="F766" s="37" t="s">
        <v>3793</v>
      </c>
      <c r="G766" s="37" t="s">
        <v>3794</v>
      </c>
      <c r="H766" s="35"/>
      <c r="J766" s="35"/>
      <c r="K766" s="35"/>
      <c r="L766" s="35"/>
      <c r="M766" s="35"/>
      <c r="N766" s="35"/>
      <c r="O766" s="35"/>
      <c r="P766" s="35"/>
      <c r="Q766" s="35"/>
    </row>
    <row r="767" spans="1:17">
      <c r="A767" s="36" t="s">
        <v>2018</v>
      </c>
      <c r="B767" s="36" t="s">
        <v>3868</v>
      </c>
      <c r="C767" s="37" t="s">
        <v>3860</v>
      </c>
      <c r="D767" s="37" t="s">
        <v>3861</v>
      </c>
      <c r="E767" s="37"/>
      <c r="F767" s="37" t="s">
        <v>3860</v>
      </c>
      <c r="G767" s="37" t="s">
        <v>3861</v>
      </c>
      <c r="H767" s="35"/>
      <c r="J767" s="35"/>
      <c r="K767" s="35"/>
      <c r="L767" s="35"/>
      <c r="M767" s="35"/>
      <c r="N767" s="35"/>
      <c r="O767" s="35"/>
      <c r="P767" s="35"/>
      <c r="Q767" s="35"/>
    </row>
    <row r="768" spans="1:17">
      <c r="A768" s="36" t="s">
        <v>2020</v>
      </c>
      <c r="B768" s="36" t="s">
        <v>3869</v>
      </c>
      <c r="C768" s="37" t="s">
        <v>2754</v>
      </c>
      <c r="D768" s="37" t="s">
        <v>2753</v>
      </c>
      <c r="E768" s="37"/>
      <c r="F768" s="37" t="s">
        <v>2754</v>
      </c>
      <c r="G768" s="37" t="s">
        <v>2753</v>
      </c>
      <c r="H768" s="35"/>
      <c r="J768" s="35"/>
      <c r="K768" s="35"/>
      <c r="L768" s="35"/>
      <c r="M768" s="35"/>
      <c r="N768" s="35"/>
      <c r="O768" s="35"/>
      <c r="P768" s="35"/>
      <c r="Q768" s="35"/>
    </row>
    <row r="769" spans="1:17">
      <c r="A769" s="36" t="s">
        <v>2022</v>
      </c>
      <c r="B769" s="36" t="s">
        <v>3870</v>
      </c>
      <c r="C769" s="37" t="s">
        <v>3871</v>
      </c>
      <c r="D769" s="37" t="s">
        <v>3872</v>
      </c>
      <c r="E769" s="37"/>
      <c r="F769" s="37" t="s">
        <v>3871</v>
      </c>
      <c r="G769" s="37" t="s">
        <v>3872</v>
      </c>
      <c r="H769" s="35"/>
      <c r="J769" s="35"/>
      <c r="K769" s="35"/>
      <c r="L769" s="35"/>
      <c r="M769" s="35"/>
      <c r="N769" s="35"/>
      <c r="O769" s="35"/>
      <c r="P769" s="35"/>
      <c r="Q769" s="35"/>
    </row>
    <row r="770" spans="1:17">
      <c r="A770" s="36" t="s">
        <v>2024</v>
      </c>
      <c r="B770" s="36" t="s">
        <v>3873</v>
      </c>
      <c r="C770" s="37" t="s">
        <v>3745</v>
      </c>
      <c r="D770" s="37" t="s">
        <v>3746</v>
      </c>
      <c r="E770" s="37"/>
      <c r="F770" s="37" t="s">
        <v>3745</v>
      </c>
      <c r="G770" s="37" t="s">
        <v>3746</v>
      </c>
      <c r="H770" s="35"/>
      <c r="J770" s="35"/>
      <c r="K770" s="35"/>
      <c r="L770" s="35"/>
      <c r="M770" s="35"/>
      <c r="N770" s="35"/>
      <c r="O770" s="35"/>
      <c r="P770" s="35"/>
      <c r="Q770" s="35"/>
    </row>
    <row r="771" spans="1:17">
      <c r="A771" s="36" t="s">
        <v>3874</v>
      </c>
      <c r="B771" s="36" t="s">
        <v>3875</v>
      </c>
      <c r="C771" s="37"/>
      <c r="D771" s="37"/>
      <c r="E771" s="37"/>
      <c r="F771" s="37"/>
      <c r="G771" s="37"/>
      <c r="H771" s="35"/>
      <c r="J771" s="35"/>
      <c r="K771" s="35"/>
      <c r="L771" s="35"/>
      <c r="M771" s="35"/>
      <c r="N771" s="35"/>
      <c r="O771" s="35"/>
      <c r="P771" s="35"/>
      <c r="Q771" s="35"/>
    </row>
    <row r="772" spans="1:17">
      <c r="A772" s="36" t="s">
        <v>2026</v>
      </c>
      <c r="B772" s="36" t="s">
        <v>3876</v>
      </c>
      <c r="C772" s="37" t="s">
        <v>2739</v>
      </c>
      <c r="D772" s="37" t="s">
        <v>2738</v>
      </c>
      <c r="E772" s="37"/>
      <c r="F772" s="37" t="s">
        <v>2739</v>
      </c>
      <c r="G772" s="37" t="s">
        <v>2738</v>
      </c>
      <c r="H772" s="35"/>
      <c r="J772" s="35"/>
      <c r="K772" s="35"/>
      <c r="L772" s="35"/>
      <c r="M772" s="35"/>
      <c r="N772" s="35"/>
      <c r="O772" s="35"/>
      <c r="P772" s="35"/>
      <c r="Q772" s="35"/>
    </row>
    <row r="773" spans="1:17">
      <c r="A773" s="36" t="s">
        <v>2028</v>
      </c>
      <c r="B773" s="36" t="s">
        <v>3877</v>
      </c>
      <c r="C773" s="37" t="s">
        <v>2739</v>
      </c>
      <c r="D773" s="37" t="s">
        <v>2738</v>
      </c>
      <c r="E773" s="37"/>
      <c r="F773" s="37" t="s">
        <v>2739</v>
      </c>
      <c r="G773" s="37" t="s">
        <v>2738</v>
      </c>
      <c r="H773" s="35"/>
      <c r="J773" s="35"/>
      <c r="K773" s="35"/>
      <c r="L773" s="35"/>
      <c r="M773" s="35"/>
      <c r="N773" s="35"/>
      <c r="O773" s="35"/>
      <c r="P773" s="35"/>
      <c r="Q773" s="35"/>
    </row>
    <row r="774" spans="1:17">
      <c r="A774" s="36" t="s">
        <v>2030</v>
      </c>
      <c r="B774" s="36" t="s">
        <v>3878</v>
      </c>
      <c r="C774" s="37" t="s">
        <v>2739</v>
      </c>
      <c r="D774" s="37" t="s">
        <v>2738</v>
      </c>
      <c r="E774" s="37"/>
      <c r="F774" s="37" t="s">
        <v>2739</v>
      </c>
      <c r="G774" s="37" t="s">
        <v>2738</v>
      </c>
      <c r="H774" s="35"/>
      <c r="J774" s="35"/>
      <c r="K774" s="35"/>
      <c r="L774" s="35"/>
      <c r="M774" s="35"/>
      <c r="N774" s="35"/>
      <c r="O774" s="35"/>
      <c r="P774" s="35"/>
      <c r="Q774" s="35"/>
    </row>
    <row r="775" spans="1:17">
      <c r="A775" s="36" t="s">
        <v>3879</v>
      </c>
      <c r="B775" s="36" t="s">
        <v>3880</v>
      </c>
      <c r="C775" s="37"/>
      <c r="D775" s="37"/>
      <c r="E775" s="37"/>
      <c r="F775" s="37"/>
      <c r="G775" s="37"/>
      <c r="H775" s="35"/>
      <c r="J775" s="35"/>
      <c r="K775" s="35"/>
      <c r="L775" s="35"/>
      <c r="M775" s="35"/>
      <c r="N775" s="35"/>
      <c r="O775" s="35"/>
      <c r="P775" s="35"/>
      <c r="Q775" s="35"/>
    </row>
    <row r="776" spans="1:17">
      <c r="A776" s="36" t="s">
        <v>2032</v>
      </c>
      <c r="B776" s="36" t="s">
        <v>3881</v>
      </c>
      <c r="C776" s="37" t="s">
        <v>2915</v>
      </c>
      <c r="D776" s="37" t="s">
        <v>2914</v>
      </c>
      <c r="E776" s="37"/>
      <c r="F776" s="37" t="s">
        <v>2915</v>
      </c>
      <c r="G776" s="37" t="s">
        <v>2914</v>
      </c>
      <c r="H776" s="35"/>
      <c r="J776" s="35"/>
      <c r="K776" s="35"/>
      <c r="L776" s="35"/>
      <c r="M776" s="35"/>
      <c r="N776" s="35"/>
      <c r="O776" s="35"/>
      <c r="P776" s="35"/>
      <c r="Q776" s="35"/>
    </row>
    <row r="777" spans="1:17">
      <c r="A777" s="36" t="s">
        <v>2034</v>
      </c>
      <c r="B777" s="36" t="s">
        <v>3882</v>
      </c>
      <c r="C777" s="37" t="s">
        <v>2915</v>
      </c>
      <c r="D777" s="37" t="s">
        <v>2914</v>
      </c>
      <c r="E777" s="37"/>
      <c r="F777" s="37" t="s">
        <v>2915</v>
      </c>
      <c r="G777" s="37" t="s">
        <v>2914</v>
      </c>
      <c r="H777" s="35"/>
      <c r="J777" s="35"/>
      <c r="K777" s="35"/>
      <c r="L777" s="35"/>
      <c r="M777" s="35"/>
      <c r="N777" s="35"/>
      <c r="O777" s="35"/>
      <c r="P777" s="35"/>
      <c r="Q777" s="35"/>
    </row>
    <row r="778" spans="1:17">
      <c r="A778" s="36" t="s">
        <v>2036</v>
      </c>
      <c r="B778" s="36" t="s">
        <v>3883</v>
      </c>
      <c r="C778" s="37" t="s">
        <v>2915</v>
      </c>
      <c r="D778" s="37" t="s">
        <v>2914</v>
      </c>
      <c r="E778" s="37"/>
      <c r="F778" s="37" t="s">
        <v>2915</v>
      </c>
      <c r="G778" s="37" t="s">
        <v>2914</v>
      </c>
      <c r="H778" s="35"/>
      <c r="J778" s="35"/>
      <c r="K778" s="35"/>
      <c r="L778" s="35"/>
      <c r="M778" s="35"/>
      <c r="N778" s="35"/>
      <c r="O778" s="35"/>
      <c r="P778" s="35"/>
      <c r="Q778" s="35"/>
    </row>
    <row r="779" spans="1:17">
      <c r="A779" s="36" t="s">
        <v>2038</v>
      </c>
      <c r="B779" s="36" t="s">
        <v>3884</v>
      </c>
      <c r="C779" s="37" t="s">
        <v>2915</v>
      </c>
      <c r="D779" s="37" t="s">
        <v>2914</v>
      </c>
      <c r="E779" s="37"/>
      <c r="F779" s="37" t="s">
        <v>2915</v>
      </c>
      <c r="G779" s="37" t="s">
        <v>2914</v>
      </c>
      <c r="H779" s="35"/>
      <c r="J779" s="35"/>
      <c r="K779" s="35"/>
      <c r="L779" s="35"/>
      <c r="M779" s="35"/>
      <c r="N779" s="35"/>
      <c r="O779" s="35"/>
      <c r="P779" s="35"/>
      <c r="Q779" s="35"/>
    </row>
    <row r="780" spans="1:17">
      <c r="A780" s="36" t="s">
        <v>2040</v>
      </c>
      <c r="B780" s="36" t="s">
        <v>3885</v>
      </c>
      <c r="C780" s="37" t="s">
        <v>2915</v>
      </c>
      <c r="D780" s="37" t="s">
        <v>2914</v>
      </c>
      <c r="E780" s="37"/>
      <c r="F780" s="37" t="s">
        <v>2915</v>
      </c>
      <c r="G780" s="37" t="s">
        <v>2914</v>
      </c>
      <c r="H780" s="35"/>
      <c r="J780" s="35"/>
      <c r="K780" s="35"/>
      <c r="L780" s="35"/>
      <c r="M780" s="35"/>
      <c r="N780" s="35"/>
      <c r="O780" s="35"/>
      <c r="P780" s="35"/>
      <c r="Q780" s="35"/>
    </row>
    <row r="781" spans="1:17">
      <c r="A781" s="36" t="s">
        <v>2042</v>
      </c>
      <c r="B781" s="36" t="s">
        <v>3886</v>
      </c>
      <c r="C781" s="37" t="s">
        <v>2915</v>
      </c>
      <c r="D781" s="37" t="s">
        <v>2914</v>
      </c>
      <c r="E781" s="37"/>
      <c r="F781" s="37" t="s">
        <v>2915</v>
      </c>
      <c r="G781" s="37" t="s">
        <v>2914</v>
      </c>
      <c r="H781" s="35"/>
      <c r="J781" s="35"/>
      <c r="K781" s="35"/>
      <c r="L781" s="35"/>
      <c r="M781" s="35"/>
      <c r="N781" s="35"/>
      <c r="O781" s="35"/>
      <c r="P781" s="35"/>
      <c r="Q781" s="35"/>
    </row>
    <row r="782" spans="1:17">
      <c r="A782" s="36" t="s">
        <v>2044</v>
      </c>
      <c r="B782" s="36" t="s">
        <v>3887</v>
      </c>
      <c r="C782" s="37" t="s">
        <v>2915</v>
      </c>
      <c r="D782" s="37" t="s">
        <v>2914</v>
      </c>
      <c r="E782" s="37"/>
      <c r="F782" s="37" t="s">
        <v>2915</v>
      </c>
      <c r="G782" s="37" t="s">
        <v>2914</v>
      </c>
      <c r="H782" s="35"/>
      <c r="J782" s="35"/>
      <c r="K782" s="35"/>
      <c r="L782" s="35"/>
      <c r="M782" s="35"/>
      <c r="N782" s="35"/>
      <c r="O782" s="35"/>
      <c r="P782" s="35"/>
      <c r="Q782" s="35"/>
    </row>
    <row r="783" spans="1:17">
      <c r="A783" s="36" t="s">
        <v>3888</v>
      </c>
      <c r="B783" s="36" t="s">
        <v>3889</v>
      </c>
      <c r="C783" s="37"/>
      <c r="D783" s="37"/>
      <c r="E783" s="37"/>
      <c r="F783" s="37"/>
      <c r="G783" s="37"/>
      <c r="H783" s="35"/>
      <c r="J783" s="35"/>
      <c r="K783" s="35"/>
      <c r="L783" s="35"/>
      <c r="M783" s="35"/>
      <c r="N783" s="35"/>
      <c r="O783" s="35"/>
      <c r="P783" s="35"/>
      <c r="Q783" s="35"/>
    </row>
    <row r="784" spans="1:17">
      <c r="A784" s="36" t="s">
        <v>2046</v>
      </c>
      <c r="B784" s="36" t="s">
        <v>3890</v>
      </c>
      <c r="C784" s="37" t="s">
        <v>3745</v>
      </c>
      <c r="D784" s="37" t="s">
        <v>3746</v>
      </c>
      <c r="E784" s="37"/>
      <c r="F784" s="37" t="s">
        <v>3745</v>
      </c>
      <c r="G784" s="37" t="s">
        <v>3746</v>
      </c>
      <c r="H784" s="35"/>
      <c r="J784" s="35"/>
      <c r="K784" s="35"/>
      <c r="L784" s="35"/>
      <c r="M784" s="35"/>
      <c r="N784" s="35"/>
      <c r="O784" s="35"/>
      <c r="P784" s="35"/>
      <c r="Q784" s="35"/>
    </row>
    <row r="785" spans="1:17">
      <c r="A785" s="36" t="s">
        <v>2048</v>
      </c>
      <c r="B785" s="36" t="s">
        <v>3891</v>
      </c>
      <c r="C785" s="37" t="s">
        <v>3745</v>
      </c>
      <c r="D785" s="37" t="s">
        <v>3746</v>
      </c>
      <c r="E785" s="37"/>
      <c r="F785" s="37" t="s">
        <v>3745</v>
      </c>
      <c r="G785" s="37" t="s">
        <v>3746</v>
      </c>
      <c r="H785" s="35"/>
      <c r="J785" s="35"/>
      <c r="K785" s="35"/>
      <c r="L785" s="35"/>
      <c r="M785" s="35"/>
      <c r="N785" s="35"/>
      <c r="O785" s="35"/>
      <c r="P785" s="35"/>
      <c r="Q785" s="35"/>
    </row>
    <row r="786" spans="1:17">
      <c r="A786" s="36" t="s">
        <v>2050</v>
      </c>
      <c r="B786" s="36" t="s">
        <v>3892</v>
      </c>
      <c r="C786" s="37" t="s">
        <v>3745</v>
      </c>
      <c r="D786" s="37" t="s">
        <v>3746</v>
      </c>
      <c r="E786" s="37"/>
      <c r="F786" s="37" t="s">
        <v>3745</v>
      </c>
      <c r="G786" s="37" t="s">
        <v>3746</v>
      </c>
      <c r="H786" s="35"/>
      <c r="J786" s="35"/>
      <c r="K786" s="35"/>
      <c r="L786" s="35"/>
      <c r="M786" s="35"/>
      <c r="N786" s="35"/>
      <c r="O786" s="35"/>
      <c r="P786" s="35"/>
      <c r="Q786" s="35"/>
    </row>
    <row r="787" spans="1:17">
      <c r="A787" s="36" t="s">
        <v>2052</v>
      </c>
      <c r="B787" s="36" t="s">
        <v>3893</v>
      </c>
      <c r="C787" s="37" t="s">
        <v>3894</v>
      </c>
      <c r="D787" s="37" t="s">
        <v>3895</v>
      </c>
      <c r="E787" s="37"/>
      <c r="F787" s="37" t="s">
        <v>3894</v>
      </c>
      <c r="G787" s="37" t="s">
        <v>3895</v>
      </c>
      <c r="H787" s="35"/>
      <c r="J787" s="35"/>
      <c r="K787" s="35"/>
      <c r="L787" s="35"/>
      <c r="M787" s="35"/>
      <c r="N787" s="35"/>
      <c r="O787" s="35"/>
      <c r="P787" s="35"/>
      <c r="Q787" s="35"/>
    </row>
    <row r="788" spans="1:17">
      <c r="A788" s="36" t="s">
        <v>2054</v>
      </c>
      <c r="B788" s="36" t="s">
        <v>3896</v>
      </c>
      <c r="C788" s="37" t="s">
        <v>3745</v>
      </c>
      <c r="D788" s="37" t="s">
        <v>3746</v>
      </c>
      <c r="E788" s="37"/>
      <c r="F788" s="37" t="s">
        <v>3745</v>
      </c>
      <c r="G788" s="37" t="s">
        <v>3746</v>
      </c>
      <c r="H788" s="35"/>
      <c r="J788" s="35"/>
      <c r="K788" s="35"/>
      <c r="L788" s="35"/>
      <c r="M788" s="35"/>
      <c r="N788" s="35"/>
      <c r="O788" s="35"/>
      <c r="P788" s="35"/>
      <c r="Q788" s="35"/>
    </row>
    <row r="789" spans="1:17">
      <c r="A789" s="36" t="s">
        <v>2056</v>
      </c>
      <c r="B789" s="36" t="s">
        <v>3897</v>
      </c>
      <c r="C789" s="37" t="s">
        <v>3745</v>
      </c>
      <c r="D789" s="37" t="s">
        <v>3746</v>
      </c>
      <c r="E789" s="37"/>
      <c r="F789" s="37" t="s">
        <v>3745</v>
      </c>
      <c r="G789" s="37" t="s">
        <v>3746</v>
      </c>
      <c r="H789" s="35"/>
      <c r="J789" s="35"/>
      <c r="K789" s="35"/>
      <c r="L789" s="35"/>
      <c r="M789" s="35"/>
      <c r="N789" s="35"/>
      <c r="O789" s="35"/>
      <c r="P789" s="35"/>
      <c r="Q789" s="35"/>
    </row>
    <row r="790" spans="1:17">
      <c r="A790" s="36" t="s">
        <v>2058</v>
      </c>
      <c r="B790" s="36" t="s">
        <v>3898</v>
      </c>
      <c r="C790" s="37" t="s">
        <v>3745</v>
      </c>
      <c r="D790" s="37" t="s">
        <v>3746</v>
      </c>
      <c r="E790" s="37"/>
      <c r="F790" s="37" t="s">
        <v>3745</v>
      </c>
      <c r="G790" s="37" t="s">
        <v>3746</v>
      </c>
      <c r="H790" s="35"/>
      <c r="J790" s="35"/>
      <c r="K790" s="35"/>
      <c r="L790" s="35"/>
      <c r="M790" s="35"/>
      <c r="N790" s="35"/>
      <c r="O790" s="35"/>
      <c r="P790" s="35"/>
      <c r="Q790" s="35"/>
    </row>
    <row r="791" spans="1:17">
      <c r="A791" s="36" t="s">
        <v>2060</v>
      </c>
      <c r="B791" s="36" t="s">
        <v>3899</v>
      </c>
      <c r="C791" s="37" t="s">
        <v>3745</v>
      </c>
      <c r="D791" s="37" t="s">
        <v>3746</v>
      </c>
      <c r="E791" s="37"/>
      <c r="F791" s="37" t="s">
        <v>3745</v>
      </c>
      <c r="G791" s="37" t="s">
        <v>3746</v>
      </c>
      <c r="H791" s="35"/>
      <c r="J791" s="35"/>
      <c r="K791" s="35"/>
      <c r="L791" s="35"/>
      <c r="M791" s="35"/>
      <c r="N791" s="35"/>
      <c r="O791" s="35"/>
      <c r="P791" s="35"/>
      <c r="Q791" s="35"/>
    </row>
    <row r="792" spans="1:17">
      <c r="A792" s="36" t="s">
        <v>3900</v>
      </c>
      <c r="B792" s="36" t="s">
        <v>3901</v>
      </c>
      <c r="C792" s="37"/>
      <c r="D792" s="37"/>
      <c r="E792" s="37"/>
      <c r="F792" s="37"/>
      <c r="G792" s="37"/>
      <c r="H792" s="35"/>
      <c r="J792" s="35"/>
      <c r="K792" s="35"/>
      <c r="L792" s="35"/>
      <c r="M792" s="35"/>
      <c r="N792" s="35"/>
      <c r="O792" s="35"/>
      <c r="P792" s="35"/>
      <c r="Q792" s="35"/>
    </row>
    <row r="793" spans="1:17">
      <c r="A793" s="36" t="s">
        <v>2062</v>
      </c>
      <c r="B793" s="36" t="s">
        <v>3902</v>
      </c>
      <c r="C793" s="37" t="s">
        <v>3773</v>
      </c>
      <c r="D793" s="37" t="s">
        <v>3774</v>
      </c>
      <c r="E793" s="37"/>
      <c r="F793" s="37" t="s">
        <v>3773</v>
      </c>
      <c r="G793" s="37" t="s">
        <v>3774</v>
      </c>
      <c r="H793" s="35"/>
      <c r="J793" s="35"/>
      <c r="K793" s="35"/>
      <c r="L793" s="35"/>
      <c r="M793" s="35"/>
      <c r="N793" s="35"/>
      <c r="O793" s="35"/>
      <c r="P793" s="35"/>
      <c r="Q793" s="35"/>
    </row>
    <row r="794" spans="1:17">
      <c r="A794" s="36" t="s">
        <v>2064</v>
      </c>
      <c r="B794" s="36" t="s">
        <v>3903</v>
      </c>
      <c r="C794" s="37" t="s">
        <v>3773</v>
      </c>
      <c r="D794" s="37" t="s">
        <v>3774</v>
      </c>
      <c r="E794" s="37"/>
      <c r="F794" s="37" t="s">
        <v>3773</v>
      </c>
      <c r="G794" s="37" t="s">
        <v>3774</v>
      </c>
      <c r="H794" s="35"/>
      <c r="J794" s="35"/>
      <c r="K794" s="35"/>
      <c r="L794" s="35"/>
      <c r="M794" s="35"/>
      <c r="N794" s="35"/>
      <c r="O794" s="35"/>
      <c r="P794" s="35"/>
      <c r="Q794" s="35"/>
    </row>
    <row r="795" spans="1:17">
      <c r="A795" s="36" t="s">
        <v>2066</v>
      </c>
      <c r="B795" s="36" t="s">
        <v>3904</v>
      </c>
      <c r="C795" s="37" t="s">
        <v>3773</v>
      </c>
      <c r="D795" s="37" t="s">
        <v>3774</v>
      </c>
      <c r="E795" s="37"/>
      <c r="F795" s="37" t="s">
        <v>3773</v>
      </c>
      <c r="G795" s="37" t="s">
        <v>3774</v>
      </c>
      <c r="H795" s="35"/>
      <c r="J795" s="35"/>
      <c r="K795" s="35"/>
      <c r="L795" s="35"/>
      <c r="M795" s="35"/>
      <c r="N795" s="35"/>
      <c r="O795" s="35"/>
      <c r="P795" s="35"/>
      <c r="Q795" s="35"/>
    </row>
    <row r="796" spans="1:17">
      <c r="A796" s="36" t="s">
        <v>2068</v>
      </c>
      <c r="B796" s="36" t="s">
        <v>3905</v>
      </c>
      <c r="C796" s="37" t="s">
        <v>3773</v>
      </c>
      <c r="D796" s="37" t="s">
        <v>3774</v>
      </c>
      <c r="E796" s="37"/>
      <c r="F796" s="37" t="s">
        <v>3773</v>
      </c>
      <c r="G796" s="37" t="s">
        <v>3774</v>
      </c>
      <c r="H796" s="35"/>
      <c r="J796" s="35"/>
      <c r="K796" s="35"/>
      <c r="L796" s="35"/>
      <c r="M796" s="35"/>
      <c r="N796" s="35"/>
      <c r="O796" s="35"/>
      <c r="P796" s="35"/>
      <c r="Q796" s="35"/>
    </row>
    <row r="797" spans="1:17">
      <c r="A797" s="36" t="s">
        <v>2070</v>
      </c>
      <c r="B797" s="36" t="s">
        <v>3906</v>
      </c>
      <c r="C797" s="37" t="s">
        <v>3773</v>
      </c>
      <c r="D797" s="37" t="s">
        <v>3774</v>
      </c>
      <c r="E797" s="37"/>
      <c r="F797" s="37" t="s">
        <v>3773</v>
      </c>
      <c r="G797" s="37" t="s">
        <v>3774</v>
      </c>
      <c r="H797" s="35"/>
      <c r="J797" s="35"/>
      <c r="K797" s="35"/>
      <c r="L797" s="35"/>
      <c r="M797" s="35"/>
      <c r="N797" s="35"/>
      <c r="O797" s="35"/>
      <c r="P797" s="35"/>
      <c r="Q797" s="35"/>
    </row>
    <row r="798" spans="1:17">
      <c r="A798" s="36" t="s">
        <v>2072</v>
      </c>
      <c r="B798" s="36" t="s">
        <v>3907</v>
      </c>
      <c r="C798" s="37" t="s">
        <v>3773</v>
      </c>
      <c r="D798" s="37" t="s">
        <v>3774</v>
      </c>
      <c r="E798" s="37"/>
      <c r="F798" s="37" t="s">
        <v>3773</v>
      </c>
      <c r="G798" s="37" t="s">
        <v>3774</v>
      </c>
      <c r="H798" s="35"/>
      <c r="J798" s="35"/>
      <c r="K798" s="35"/>
      <c r="L798" s="35"/>
      <c r="M798" s="35"/>
      <c r="N798" s="35"/>
      <c r="O798" s="35"/>
      <c r="P798" s="35"/>
      <c r="Q798" s="35"/>
    </row>
    <row r="799" spans="1:17">
      <c r="A799" s="36" t="s">
        <v>2074</v>
      </c>
      <c r="B799" s="36" t="s">
        <v>3908</v>
      </c>
      <c r="C799" s="37" t="s">
        <v>3773</v>
      </c>
      <c r="D799" s="37" t="s">
        <v>3774</v>
      </c>
      <c r="E799" s="37"/>
      <c r="F799" s="37" t="s">
        <v>3773</v>
      </c>
      <c r="G799" s="37" t="s">
        <v>3774</v>
      </c>
      <c r="H799" s="35"/>
      <c r="J799" s="35"/>
      <c r="K799" s="35"/>
      <c r="L799" s="35"/>
      <c r="M799" s="35"/>
      <c r="N799" s="35"/>
      <c r="O799" s="35"/>
      <c r="P799" s="35"/>
      <c r="Q799" s="35"/>
    </row>
    <row r="800" spans="1:17">
      <c r="A800" s="36" t="s">
        <v>3909</v>
      </c>
      <c r="B800" s="36" t="s">
        <v>3910</v>
      </c>
      <c r="C800" s="37"/>
      <c r="D800" s="37"/>
      <c r="E800" s="37"/>
      <c r="F800" s="37"/>
      <c r="G800" s="37"/>
      <c r="H800" s="35"/>
      <c r="J800" s="35"/>
      <c r="K800" s="35"/>
      <c r="L800" s="35"/>
      <c r="M800" s="35"/>
      <c r="N800" s="35"/>
      <c r="O800" s="35"/>
      <c r="P800" s="35"/>
      <c r="Q800" s="35"/>
    </row>
    <row r="801" spans="1:17">
      <c r="A801" s="36" t="s">
        <v>2076</v>
      </c>
      <c r="B801" s="36" t="s">
        <v>3911</v>
      </c>
      <c r="C801" s="37" t="s">
        <v>1720</v>
      </c>
      <c r="D801" s="37" t="s">
        <v>3912</v>
      </c>
      <c r="E801" s="37"/>
      <c r="F801" s="37" t="s">
        <v>1720</v>
      </c>
      <c r="G801" s="37" t="s">
        <v>3912</v>
      </c>
      <c r="H801" s="35"/>
      <c r="J801" s="35"/>
      <c r="K801" s="35"/>
      <c r="L801" s="35"/>
      <c r="M801" s="35"/>
      <c r="N801" s="35"/>
      <c r="O801" s="35"/>
      <c r="P801" s="35"/>
      <c r="Q801" s="35"/>
    </row>
    <row r="802" spans="1:17">
      <c r="A802" s="36" t="s">
        <v>2078</v>
      </c>
      <c r="B802" s="36" t="s">
        <v>3913</v>
      </c>
      <c r="C802" s="37" t="s">
        <v>2744</v>
      </c>
      <c r="D802" s="37" t="s">
        <v>2743</v>
      </c>
      <c r="E802" s="37"/>
      <c r="F802" s="37" t="s">
        <v>2744</v>
      </c>
      <c r="G802" s="37" t="s">
        <v>2743</v>
      </c>
      <c r="H802" s="35"/>
      <c r="J802" s="35"/>
      <c r="K802" s="35"/>
      <c r="L802" s="35"/>
      <c r="M802" s="35"/>
      <c r="N802" s="35"/>
      <c r="O802" s="35"/>
      <c r="P802" s="35"/>
      <c r="Q802" s="35"/>
    </row>
    <row r="803" spans="1:17">
      <c r="A803" s="36" t="s">
        <v>2080</v>
      </c>
      <c r="B803" s="36" t="s">
        <v>3914</v>
      </c>
      <c r="C803" s="37" t="s">
        <v>2744</v>
      </c>
      <c r="D803" s="37" t="s">
        <v>2743</v>
      </c>
      <c r="E803" s="37"/>
      <c r="F803" s="37" t="s">
        <v>2744</v>
      </c>
      <c r="G803" s="37" t="s">
        <v>2743</v>
      </c>
      <c r="H803" s="35"/>
      <c r="J803" s="35"/>
      <c r="K803" s="35"/>
      <c r="L803" s="35"/>
      <c r="M803" s="35"/>
      <c r="N803" s="35"/>
      <c r="O803" s="35"/>
      <c r="P803" s="35"/>
      <c r="Q803" s="35"/>
    </row>
    <row r="804" spans="1:17">
      <c r="A804" s="36" t="s">
        <v>2082</v>
      </c>
      <c r="B804" s="36" t="s">
        <v>3915</v>
      </c>
      <c r="C804" s="37" t="s">
        <v>2744</v>
      </c>
      <c r="D804" s="37" t="s">
        <v>2743</v>
      </c>
      <c r="E804" s="37"/>
      <c r="F804" s="37" t="s">
        <v>2744</v>
      </c>
      <c r="G804" s="37" t="s">
        <v>2743</v>
      </c>
      <c r="H804" s="35"/>
      <c r="J804" s="35"/>
      <c r="K804" s="35"/>
      <c r="L804" s="35"/>
      <c r="M804" s="35"/>
      <c r="N804" s="35"/>
      <c r="O804" s="35"/>
      <c r="P804" s="35"/>
      <c r="Q804" s="35"/>
    </row>
    <row r="805" spans="1:17">
      <c r="A805" s="36" t="s">
        <v>2084</v>
      </c>
      <c r="B805" s="36" t="s">
        <v>3916</v>
      </c>
      <c r="C805" s="37" t="s">
        <v>2744</v>
      </c>
      <c r="D805" s="37" t="s">
        <v>2743</v>
      </c>
      <c r="E805" s="37"/>
      <c r="F805" s="37" t="s">
        <v>2744</v>
      </c>
      <c r="G805" s="37" t="s">
        <v>2743</v>
      </c>
      <c r="H805" s="35"/>
      <c r="J805" s="35"/>
      <c r="K805" s="35"/>
      <c r="L805" s="35"/>
      <c r="M805" s="35"/>
      <c r="N805" s="35"/>
      <c r="O805" s="35"/>
      <c r="P805" s="35"/>
      <c r="Q805" s="35"/>
    </row>
    <row r="806" spans="1:17">
      <c r="A806" s="36" t="s">
        <v>2086</v>
      </c>
      <c r="B806" s="36" t="s">
        <v>3917</v>
      </c>
      <c r="C806" s="37" t="s">
        <v>3780</v>
      </c>
      <c r="D806" s="37" t="s">
        <v>3781</v>
      </c>
      <c r="E806" s="37"/>
      <c r="F806" s="37" t="s">
        <v>3780</v>
      </c>
      <c r="G806" s="37" t="s">
        <v>3781</v>
      </c>
      <c r="H806" s="35"/>
      <c r="J806" s="35"/>
      <c r="K806" s="35"/>
      <c r="L806" s="35"/>
      <c r="M806" s="35"/>
      <c r="N806" s="35"/>
      <c r="O806" s="35"/>
      <c r="P806" s="35"/>
      <c r="Q806" s="35"/>
    </row>
    <row r="807" spans="1:17">
      <c r="A807" s="36" t="s">
        <v>2088</v>
      </c>
      <c r="B807" s="36" t="s">
        <v>3918</v>
      </c>
      <c r="C807" s="37" t="s">
        <v>3493</v>
      </c>
      <c r="D807" s="37" t="s">
        <v>3494</v>
      </c>
      <c r="E807" s="37"/>
      <c r="F807" s="37" t="s">
        <v>3493</v>
      </c>
      <c r="G807" s="37" t="s">
        <v>3494</v>
      </c>
      <c r="H807" s="35"/>
      <c r="J807" s="35"/>
      <c r="K807" s="35"/>
      <c r="L807" s="35"/>
      <c r="M807" s="35"/>
      <c r="N807" s="35"/>
      <c r="O807" s="35"/>
      <c r="P807" s="35"/>
      <c r="Q807" s="35"/>
    </row>
    <row r="808" spans="1:17">
      <c r="A808" s="36" t="s">
        <v>2090</v>
      </c>
      <c r="B808" s="36" t="s">
        <v>3919</v>
      </c>
      <c r="C808" s="37" t="s">
        <v>3920</v>
      </c>
      <c r="D808" s="37" t="s">
        <v>3921</v>
      </c>
      <c r="E808" s="37"/>
      <c r="F808" s="37" t="s">
        <v>3920</v>
      </c>
      <c r="G808" s="37" t="s">
        <v>3921</v>
      </c>
      <c r="H808" s="35"/>
      <c r="J808" s="35"/>
      <c r="K808" s="35"/>
      <c r="L808" s="35"/>
      <c r="M808" s="35"/>
      <c r="N808" s="35"/>
      <c r="O808" s="35"/>
      <c r="P808" s="35"/>
      <c r="Q808" s="35"/>
    </row>
    <row r="809" spans="1:17">
      <c r="A809" s="36" t="s">
        <v>2092</v>
      </c>
      <c r="B809" s="36" t="s">
        <v>3922</v>
      </c>
      <c r="C809" s="37" t="s">
        <v>3605</v>
      </c>
      <c r="D809" s="37" t="s">
        <v>3606</v>
      </c>
      <c r="E809" s="37"/>
      <c r="F809" s="37" t="s">
        <v>3605</v>
      </c>
      <c r="G809" s="37" t="s">
        <v>3606</v>
      </c>
      <c r="H809" s="35"/>
      <c r="J809" s="35"/>
      <c r="K809" s="35"/>
      <c r="L809" s="35"/>
      <c r="M809" s="35"/>
      <c r="N809" s="35"/>
      <c r="O809" s="35"/>
      <c r="P809" s="35"/>
      <c r="Q809" s="35"/>
    </row>
    <row r="810" spans="1:17">
      <c r="A810" s="36" t="s">
        <v>3923</v>
      </c>
      <c r="B810" s="36" t="s">
        <v>3924</v>
      </c>
      <c r="C810" s="37"/>
      <c r="D810" s="37"/>
      <c r="E810" s="37"/>
      <c r="F810" s="37"/>
      <c r="G810" s="37"/>
      <c r="H810" s="35"/>
      <c r="J810" s="35"/>
      <c r="K810" s="35"/>
      <c r="L810" s="35"/>
      <c r="M810" s="35"/>
      <c r="N810" s="35"/>
      <c r="O810" s="35"/>
      <c r="P810" s="35"/>
      <c r="Q810" s="35"/>
    </row>
    <row r="811" spans="1:17">
      <c r="A811" s="36" t="s">
        <v>2094</v>
      </c>
      <c r="B811" s="36" t="s">
        <v>3925</v>
      </c>
      <c r="C811" s="37" t="s">
        <v>3926</v>
      </c>
      <c r="D811" s="37" t="s">
        <v>3927</v>
      </c>
      <c r="E811" s="37"/>
      <c r="F811" s="37" t="s">
        <v>3926</v>
      </c>
      <c r="G811" s="37" t="s">
        <v>3927</v>
      </c>
      <c r="H811" s="35"/>
      <c r="J811" s="35"/>
      <c r="K811" s="35"/>
      <c r="L811" s="35"/>
      <c r="M811" s="35"/>
      <c r="N811" s="35"/>
      <c r="O811" s="35"/>
      <c r="P811" s="35"/>
      <c r="Q811" s="35"/>
    </row>
    <row r="812" spans="1:17">
      <c r="A812" s="36" t="s">
        <v>2096</v>
      </c>
      <c r="B812" s="36" t="s">
        <v>3928</v>
      </c>
      <c r="C812" s="37" t="s">
        <v>3929</v>
      </c>
      <c r="D812" s="37" t="s">
        <v>3930</v>
      </c>
      <c r="E812" s="37"/>
      <c r="F812" s="37" t="s">
        <v>3929</v>
      </c>
      <c r="G812" s="37" t="s">
        <v>3930</v>
      </c>
      <c r="H812" s="35"/>
      <c r="J812" s="35"/>
      <c r="K812" s="35"/>
      <c r="L812" s="35"/>
      <c r="M812" s="35"/>
      <c r="N812" s="35"/>
      <c r="O812" s="35"/>
      <c r="P812" s="35"/>
      <c r="Q812" s="35"/>
    </row>
    <row r="813" spans="1:17">
      <c r="A813" s="36" t="s">
        <v>3931</v>
      </c>
      <c r="B813" s="36" t="s">
        <v>3932</v>
      </c>
      <c r="C813" s="37"/>
      <c r="D813" s="37"/>
      <c r="E813" s="37"/>
      <c r="F813" s="37"/>
      <c r="G813" s="37"/>
      <c r="H813" s="35"/>
      <c r="J813" s="35"/>
      <c r="K813" s="35"/>
      <c r="L813" s="35"/>
      <c r="M813" s="35"/>
      <c r="N813" s="35"/>
      <c r="O813" s="35"/>
      <c r="P813" s="35"/>
      <c r="Q813" s="35"/>
    </row>
    <row r="814" spans="1:17">
      <c r="A814" s="36" t="s">
        <v>2098</v>
      </c>
      <c r="B814" s="36" t="s">
        <v>3933</v>
      </c>
      <c r="C814" s="37" t="s">
        <v>2727</v>
      </c>
      <c r="D814" s="37" t="s">
        <v>2726</v>
      </c>
      <c r="E814" s="37"/>
      <c r="F814" s="37" t="s">
        <v>2727</v>
      </c>
      <c r="G814" s="37" t="s">
        <v>2726</v>
      </c>
      <c r="H814" s="35"/>
      <c r="J814" s="35"/>
      <c r="K814" s="35"/>
      <c r="L814" s="35"/>
      <c r="M814" s="35"/>
      <c r="N814" s="35"/>
      <c r="O814" s="35"/>
      <c r="P814" s="35"/>
      <c r="Q814" s="35"/>
    </row>
    <row r="815" spans="1:17">
      <c r="A815" s="36" t="s">
        <v>2100</v>
      </c>
      <c r="B815" s="36" t="s">
        <v>3934</v>
      </c>
      <c r="C815" s="37" t="s">
        <v>3935</v>
      </c>
      <c r="D815" s="37" t="s">
        <v>3936</v>
      </c>
      <c r="E815" s="37"/>
      <c r="F815" s="37" t="s">
        <v>3935</v>
      </c>
      <c r="G815" s="37" t="s">
        <v>3936</v>
      </c>
      <c r="H815" s="35"/>
      <c r="J815" s="35"/>
      <c r="K815" s="35"/>
      <c r="L815" s="35"/>
      <c r="M815" s="35"/>
      <c r="N815" s="35"/>
      <c r="O815" s="35"/>
      <c r="P815" s="35"/>
      <c r="Q815" s="35"/>
    </row>
    <row r="816" spans="1:17">
      <c r="A816" s="36" t="s">
        <v>2102</v>
      </c>
      <c r="B816" s="36" t="s">
        <v>3937</v>
      </c>
      <c r="C816" s="37" t="s">
        <v>3938</v>
      </c>
      <c r="D816" s="37" t="s">
        <v>3939</v>
      </c>
      <c r="E816" s="37"/>
      <c r="F816" s="37" t="s">
        <v>3938</v>
      </c>
      <c r="G816" s="37" t="s">
        <v>3939</v>
      </c>
      <c r="H816" s="35"/>
      <c r="J816" s="35"/>
      <c r="K816" s="35"/>
      <c r="L816" s="35"/>
      <c r="M816" s="35"/>
      <c r="N816" s="35"/>
      <c r="O816" s="35"/>
      <c r="P816" s="35"/>
      <c r="Q816" s="35"/>
    </row>
    <row r="817" spans="1:17">
      <c r="A817" s="36" t="s">
        <v>2104</v>
      </c>
      <c r="B817" s="36" t="s">
        <v>3940</v>
      </c>
      <c r="C817" s="37" t="s">
        <v>1574</v>
      </c>
      <c r="D817" s="37" t="s">
        <v>3803</v>
      </c>
      <c r="E817" s="37"/>
      <c r="F817" s="37" t="s">
        <v>1574</v>
      </c>
      <c r="G817" s="37" t="s">
        <v>3803</v>
      </c>
      <c r="H817" s="35"/>
      <c r="J817" s="35"/>
      <c r="K817" s="35"/>
      <c r="L817" s="35"/>
      <c r="M817" s="35"/>
      <c r="N817" s="35"/>
      <c r="O817" s="35"/>
      <c r="P817" s="35"/>
      <c r="Q817" s="35"/>
    </row>
    <row r="818" spans="1:17">
      <c r="A818" s="36" t="s">
        <v>2106</v>
      </c>
      <c r="B818" s="36" t="s">
        <v>3941</v>
      </c>
      <c r="C818" s="37" t="s">
        <v>3851</v>
      </c>
      <c r="D818" s="37" t="s">
        <v>3852</v>
      </c>
      <c r="E818" s="37"/>
      <c r="F818" s="37" t="s">
        <v>3851</v>
      </c>
      <c r="G818" s="37" t="s">
        <v>3852</v>
      </c>
      <c r="H818" s="35"/>
      <c r="J818" s="35"/>
      <c r="K818" s="35"/>
      <c r="L818" s="35"/>
      <c r="M818" s="35"/>
      <c r="N818" s="35"/>
      <c r="O818" s="35"/>
      <c r="P818" s="35"/>
      <c r="Q818" s="35"/>
    </row>
    <row r="819" spans="1:17">
      <c r="A819" s="36" t="s">
        <v>2108</v>
      </c>
      <c r="B819" s="36" t="s">
        <v>3942</v>
      </c>
      <c r="C819" s="37" t="s">
        <v>3943</v>
      </c>
      <c r="D819" s="37" t="s">
        <v>3944</v>
      </c>
      <c r="E819" s="37"/>
      <c r="F819" s="37" t="s">
        <v>3943</v>
      </c>
      <c r="G819" s="37" t="s">
        <v>3944</v>
      </c>
      <c r="H819" s="35"/>
      <c r="J819" s="35"/>
      <c r="K819" s="35"/>
      <c r="L819" s="35"/>
      <c r="M819" s="35"/>
      <c r="N819" s="35"/>
      <c r="O819" s="35"/>
      <c r="P819" s="35"/>
      <c r="Q819" s="35"/>
    </row>
    <row r="820" spans="1:17">
      <c r="A820" s="36" t="s">
        <v>2110</v>
      </c>
      <c r="B820" s="36" t="s">
        <v>3945</v>
      </c>
      <c r="C820" s="37" t="s">
        <v>3946</v>
      </c>
      <c r="D820" s="37" t="s">
        <v>3947</v>
      </c>
      <c r="E820" s="37"/>
      <c r="F820" s="37" t="s">
        <v>3946</v>
      </c>
      <c r="G820" s="37" t="s">
        <v>3947</v>
      </c>
      <c r="H820" s="35"/>
      <c r="J820" s="35"/>
      <c r="K820" s="35"/>
      <c r="L820" s="35"/>
      <c r="M820" s="35"/>
      <c r="N820" s="35"/>
      <c r="O820" s="35"/>
      <c r="P820" s="35"/>
      <c r="Q820" s="35"/>
    </row>
    <row r="821" spans="1:17">
      <c r="A821" s="36" t="s">
        <v>2112</v>
      </c>
      <c r="B821" s="36" t="s">
        <v>3948</v>
      </c>
      <c r="C821" s="37" t="s">
        <v>3805</v>
      </c>
      <c r="D821" s="37" t="s">
        <v>3806</v>
      </c>
      <c r="E821" s="37"/>
      <c r="F821" s="37" t="s">
        <v>3805</v>
      </c>
      <c r="G821" s="37" t="s">
        <v>3806</v>
      </c>
      <c r="H821" s="35"/>
      <c r="J821" s="35"/>
      <c r="K821" s="35"/>
      <c r="L821" s="35"/>
      <c r="M821" s="35"/>
      <c r="N821" s="35"/>
      <c r="O821" s="35"/>
      <c r="P821" s="35"/>
      <c r="Q821" s="35"/>
    </row>
    <row r="822" spans="1:17">
      <c r="A822" s="36" t="s">
        <v>2114</v>
      </c>
      <c r="B822" s="36" t="s">
        <v>3949</v>
      </c>
      <c r="C822" s="37" t="s">
        <v>3761</v>
      </c>
      <c r="D822" s="37" t="s">
        <v>3762</v>
      </c>
      <c r="E822" s="37"/>
      <c r="F822" s="37" t="s">
        <v>3761</v>
      </c>
      <c r="G822" s="37" t="s">
        <v>3762</v>
      </c>
      <c r="H822" s="35"/>
      <c r="J822" s="35"/>
      <c r="K822" s="35"/>
      <c r="L822" s="35"/>
      <c r="M822" s="35"/>
      <c r="N822" s="35"/>
      <c r="O822" s="35"/>
      <c r="P822" s="35"/>
      <c r="Q822" s="35"/>
    </row>
    <row r="823" spans="1:17">
      <c r="A823" s="36" t="s">
        <v>2116</v>
      </c>
      <c r="B823" s="36" t="s">
        <v>3950</v>
      </c>
      <c r="C823" s="37" t="s">
        <v>3951</v>
      </c>
      <c r="D823" s="37" t="s">
        <v>3952</v>
      </c>
      <c r="E823" s="37"/>
      <c r="F823" s="37" t="s">
        <v>3951</v>
      </c>
      <c r="G823" s="37" t="s">
        <v>3952</v>
      </c>
      <c r="H823" s="35"/>
      <c r="J823" s="35"/>
      <c r="K823" s="35"/>
      <c r="L823" s="35"/>
      <c r="M823" s="35"/>
      <c r="N823" s="35"/>
      <c r="O823" s="35"/>
      <c r="P823" s="35"/>
      <c r="Q823" s="35"/>
    </row>
    <row r="824" spans="1:17">
      <c r="A824" s="36" t="s">
        <v>2118</v>
      </c>
      <c r="B824" s="36" t="s">
        <v>3953</v>
      </c>
      <c r="C824" s="37" t="s">
        <v>3340</v>
      </c>
      <c r="D824" s="37" t="s">
        <v>3341</v>
      </c>
      <c r="E824" s="37"/>
      <c r="F824" s="37" t="s">
        <v>3340</v>
      </c>
      <c r="G824" s="37" t="s">
        <v>3341</v>
      </c>
      <c r="H824" s="35"/>
      <c r="J824" s="35"/>
      <c r="K824" s="35"/>
      <c r="L824" s="35"/>
      <c r="M824" s="35"/>
      <c r="N824" s="35"/>
      <c r="O824" s="35"/>
      <c r="P824" s="35"/>
      <c r="Q824" s="35"/>
    </row>
    <row r="825" spans="1:17">
      <c r="A825" s="36" t="s">
        <v>2120</v>
      </c>
      <c r="B825" s="36" t="s">
        <v>3954</v>
      </c>
      <c r="C825" s="37" t="s">
        <v>3821</v>
      </c>
      <c r="D825" s="37" t="s">
        <v>3822</v>
      </c>
      <c r="E825" s="37"/>
      <c r="F825" s="37" t="s">
        <v>3821</v>
      </c>
      <c r="G825" s="37" t="s">
        <v>3822</v>
      </c>
      <c r="H825" s="35"/>
      <c r="J825" s="35"/>
      <c r="K825" s="35"/>
      <c r="L825" s="35"/>
      <c r="M825" s="35"/>
      <c r="N825" s="35"/>
      <c r="O825" s="35"/>
      <c r="P825" s="35"/>
      <c r="Q825" s="35"/>
    </row>
    <row r="826" spans="1:17">
      <c r="A826" s="36" t="s">
        <v>2122</v>
      </c>
      <c r="B826" s="36" t="s">
        <v>3955</v>
      </c>
      <c r="C826" s="37" t="s">
        <v>3021</v>
      </c>
      <c r="D826" s="37" t="s">
        <v>3020</v>
      </c>
      <c r="E826" s="37"/>
      <c r="F826" s="37" t="s">
        <v>3021</v>
      </c>
      <c r="G826" s="37" t="s">
        <v>3020</v>
      </c>
      <c r="H826" s="35"/>
      <c r="J826" s="35"/>
      <c r="K826" s="35"/>
      <c r="L826" s="35"/>
      <c r="M826" s="35"/>
      <c r="N826" s="35"/>
      <c r="O826" s="35"/>
      <c r="P826" s="35"/>
      <c r="Q826" s="35"/>
    </row>
    <row r="827" spans="1:17">
      <c r="A827" s="36" t="s">
        <v>2124</v>
      </c>
      <c r="B827" s="36" t="s">
        <v>3956</v>
      </c>
      <c r="C827" s="37" t="s">
        <v>3957</v>
      </c>
      <c r="D827" s="37" t="s">
        <v>3958</v>
      </c>
      <c r="E827" s="37"/>
      <c r="F827" s="37" t="s">
        <v>3957</v>
      </c>
      <c r="G827" s="37" t="s">
        <v>3958</v>
      </c>
      <c r="H827" s="35"/>
      <c r="J827" s="35"/>
      <c r="K827" s="35"/>
      <c r="L827" s="35"/>
      <c r="M827" s="35"/>
      <c r="N827" s="35"/>
      <c r="O827" s="35"/>
      <c r="P827" s="35"/>
      <c r="Q827" s="35"/>
    </row>
    <row r="828" spans="1:17">
      <c r="A828" s="36" t="s">
        <v>2126</v>
      </c>
      <c r="B828" s="36" t="s">
        <v>2127</v>
      </c>
      <c r="C828" s="37" t="s">
        <v>2749</v>
      </c>
      <c r="D828" s="37" t="s">
        <v>2748</v>
      </c>
      <c r="E828" s="37"/>
      <c r="F828" s="37" t="s">
        <v>2749</v>
      </c>
      <c r="G828" s="37" t="s">
        <v>2748</v>
      </c>
      <c r="H828" s="35"/>
      <c r="J828" s="35"/>
      <c r="K828" s="35"/>
      <c r="L828" s="35"/>
      <c r="M828" s="35"/>
      <c r="N828" s="35"/>
      <c r="O828" s="35"/>
      <c r="P828" s="35"/>
      <c r="Q828" s="35"/>
    </row>
    <row r="829" spans="1:17">
      <c r="A829" s="36" t="s">
        <v>2128</v>
      </c>
      <c r="B829" s="36" t="s">
        <v>3959</v>
      </c>
      <c r="C829" s="37" t="s">
        <v>2486</v>
      </c>
      <c r="D829" s="37" t="s">
        <v>2681</v>
      </c>
      <c r="E829" s="37"/>
      <c r="F829" s="37" t="s">
        <v>2486</v>
      </c>
      <c r="G829" s="37" t="s">
        <v>2681</v>
      </c>
      <c r="H829" s="35"/>
      <c r="J829" s="35"/>
      <c r="K829" s="35"/>
      <c r="L829" s="35"/>
      <c r="M829" s="35"/>
      <c r="N829" s="35"/>
      <c r="O829" s="35"/>
      <c r="P829" s="35"/>
      <c r="Q829" s="35"/>
    </row>
    <row r="830" spans="1:17">
      <c r="A830" s="36" t="s">
        <v>2130</v>
      </c>
      <c r="B830" s="36" t="s">
        <v>3960</v>
      </c>
      <c r="C830" s="37" t="s">
        <v>2612</v>
      </c>
      <c r="D830" s="37" t="s">
        <v>2611</v>
      </c>
      <c r="E830" s="37"/>
      <c r="F830" s="37" t="s">
        <v>4787</v>
      </c>
      <c r="G830" s="37" t="s">
        <v>4786</v>
      </c>
      <c r="H830" s="35"/>
      <c r="J830" s="35"/>
      <c r="K830" s="35"/>
      <c r="L830" s="35"/>
      <c r="M830" s="35"/>
      <c r="N830" s="35"/>
      <c r="O830" s="35"/>
      <c r="P830" s="35"/>
      <c r="Q830" s="35"/>
    </row>
    <row r="831" spans="1:17">
      <c r="A831" s="36" t="s">
        <v>2132</v>
      </c>
      <c r="B831" s="36" t="s">
        <v>3961</v>
      </c>
      <c r="C831" s="37" t="s">
        <v>2612</v>
      </c>
      <c r="D831" s="37" t="s">
        <v>2611</v>
      </c>
      <c r="E831" s="37"/>
      <c r="F831" s="37" t="s">
        <v>4787</v>
      </c>
      <c r="G831" s="37" t="s">
        <v>4786</v>
      </c>
      <c r="H831" s="35"/>
      <c r="J831" s="35"/>
      <c r="K831" s="35"/>
      <c r="L831" s="35"/>
      <c r="M831" s="35"/>
      <c r="N831" s="35"/>
      <c r="O831" s="35"/>
      <c r="P831" s="35"/>
      <c r="Q831" s="35"/>
    </row>
    <row r="832" spans="1:17">
      <c r="A832" s="36" t="s">
        <v>2134</v>
      </c>
      <c r="B832" s="36" t="s">
        <v>3962</v>
      </c>
      <c r="C832" s="37" t="s">
        <v>3854</v>
      </c>
      <c r="D832" s="37" t="s">
        <v>3855</v>
      </c>
      <c r="E832" s="37"/>
      <c r="F832" s="37" t="s">
        <v>3854</v>
      </c>
      <c r="G832" s="37" t="s">
        <v>3855</v>
      </c>
      <c r="H832" s="35"/>
      <c r="J832" s="35"/>
      <c r="K832" s="35"/>
      <c r="L832" s="35"/>
      <c r="M832" s="35"/>
      <c r="N832" s="35"/>
      <c r="O832" s="35"/>
      <c r="P832" s="35"/>
      <c r="Q832" s="35"/>
    </row>
    <row r="833" spans="1:17">
      <c r="A833" s="36" t="s">
        <v>2136</v>
      </c>
      <c r="B833" s="36" t="s">
        <v>3963</v>
      </c>
      <c r="C833" s="37" t="s">
        <v>3857</v>
      </c>
      <c r="D833" s="37" t="s">
        <v>3858</v>
      </c>
      <c r="E833" s="37"/>
      <c r="F833" s="37" t="s">
        <v>3857</v>
      </c>
      <c r="G833" s="37" t="s">
        <v>3858</v>
      </c>
      <c r="H833" s="35"/>
      <c r="J833" s="35"/>
      <c r="K833" s="35"/>
      <c r="L833" s="35"/>
      <c r="M833" s="35"/>
      <c r="N833" s="35"/>
      <c r="O833" s="35"/>
      <c r="P833" s="35"/>
      <c r="Q833" s="35"/>
    </row>
    <row r="834" spans="1:17">
      <c r="A834" s="36" t="s">
        <v>2138</v>
      </c>
      <c r="B834" s="36" t="s">
        <v>3964</v>
      </c>
      <c r="C834" s="37" t="s">
        <v>2749</v>
      </c>
      <c r="D834" s="37" t="s">
        <v>2748</v>
      </c>
      <c r="E834" s="37"/>
      <c r="F834" s="37" t="s">
        <v>2749</v>
      </c>
      <c r="G834" s="37" t="s">
        <v>2748</v>
      </c>
      <c r="H834" s="35"/>
      <c r="J834" s="35"/>
      <c r="K834" s="35"/>
      <c r="L834" s="35"/>
      <c r="M834" s="35"/>
      <c r="N834" s="35"/>
      <c r="O834" s="35"/>
      <c r="P834" s="35"/>
      <c r="Q834" s="35"/>
    </row>
    <row r="835" spans="1:17">
      <c r="A835" s="36" t="s">
        <v>2140</v>
      </c>
      <c r="B835" s="36" t="s">
        <v>3965</v>
      </c>
      <c r="C835" s="37" t="s">
        <v>3966</v>
      </c>
      <c r="D835" s="37" t="s">
        <v>3967</v>
      </c>
      <c r="E835" s="37"/>
      <c r="F835" s="37" t="s">
        <v>3966</v>
      </c>
      <c r="G835" s="37" t="s">
        <v>3967</v>
      </c>
      <c r="H835" s="35"/>
      <c r="J835" s="35"/>
      <c r="K835" s="35"/>
      <c r="L835" s="35"/>
      <c r="M835" s="35"/>
      <c r="N835" s="35"/>
      <c r="O835" s="35"/>
      <c r="P835" s="35"/>
      <c r="Q835" s="35"/>
    </row>
    <row r="836" spans="1:17">
      <c r="A836" s="36" t="s">
        <v>2142</v>
      </c>
      <c r="B836" s="36" t="s">
        <v>3968</v>
      </c>
      <c r="C836" s="37" t="s">
        <v>2749</v>
      </c>
      <c r="D836" s="37" t="s">
        <v>2748</v>
      </c>
      <c r="E836" s="37"/>
      <c r="F836" s="37" t="s">
        <v>2749</v>
      </c>
      <c r="G836" s="37" t="s">
        <v>2748</v>
      </c>
      <c r="H836" s="35"/>
      <c r="J836" s="35"/>
      <c r="K836" s="35"/>
      <c r="L836" s="35"/>
      <c r="M836" s="35"/>
      <c r="N836" s="35"/>
      <c r="O836" s="35"/>
      <c r="P836" s="35"/>
      <c r="Q836" s="35"/>
    </row>
    <row r="837" spans="1:17">
      <c r="A837" s="36" t="s">
        <v>3969</v>
      </c>
      <c r="B837" s="36" t="s">
        <v>3970</v>
      </c>
      <c r="C837" s="37"/>
      <c r="D837" s="37"/>
      <c r="E837" s="37"/>
      <c r="F837" s="37"/>
      <c r="G837" s="37"/>
      <c r="H837" s="35"/>
      <c r="J837" s="35"/>
      <c r="K837" s="35"/>
      <c r="L837" s="35"/>
      <c r="M837" s="35"/>
      <c r="N837" s="35"/>
      <c r="O837" s="35"/>
      <c r="P837" s="35"/>
      <c r="Q837" s="35"/>
    </row>
    <row r="838" spans="1:17">
      <c r="A838" s="36" t="s">
        <v>3971</v>
      </c>
      <c r="B838" s="36" t="s">
        <v>3972</v>
      </c>
      <c r="C838" s="37"/>
      <c r="D838" s="37"/>
      <c r="E838" s="37"/>
      <c r="F838" s="37"/>
      <c r="G838" s="37"/>
      <c r="H838" s="35"/>
      <c r="J838" s="35"/>
      <c r="K838" s="35"/>
      <c r="L838" s="35"/>
      <c r="M838" s="35"/>
      <c r="N838" s="35"/>
      <c r="O838" s="35"/>
      <c r="P838" s="35"/>
      <c r="Q838" s="35"/>
    </row>
    <row r="839" spans="1:17">
      <c r="A839" s="36" t="s">
        <v>2144</v>
      </c>
      <c r="B839" s="36" t="s">
        <v>3973</v>
      </c>
      <c r="C839" s="37" t="s">
        <v>2645</v>
      </c>
      <c r="D839" s="37" t="s">
        <v>2644</v>
      </c>
      <c r="E839" s="37"/>
      <c r="F839" s="37" t="s">
        <v>2645</v>
      </c>
      <c r="G839" s="37" t="s">
        <v>2644</v>
      </c>
      <c r="H839" s="35"/>
      <c r="J839" s="35"/>
      <c r="K839" s="35"/>
      <c r="L839" s="35"/>
      <c r="M839" s="35"/>
      <c r="N839" s="35"/>
      <c r="O839" s="35"/>
      <c r="P839" s="35"/>
      <c r="Q839" s="35"/>
    </row>
    <row r="840" spans="1:17">
      <c r="A840" s="36" t="s">
        <v>2146</v>
      </c>
      <c r="B840" s="36" t="s">
        <v>3974</v>
      </c>
      <c r="C840" s="37" t="s">
        <v>2645</v>
      </c>
      <c r="D840" s="37" t="s">
        <v>2644</v>
      </c>
      <c r="E840" s="37"/>
      <c r="F840" s="37" t="s">
        <v>2645</v>
      </c>
      <c r="G840" s="37" t="s">
        <v>2644</v>
      </c>
      <c r="H840" s="35"/>
      <c r="J840" s="35"/>
      <c r="K840" s="35"/>
      <c r="L840" s="35"/>
      <c r="M840" s="35"/>
      <c r="N840" s="35"/>
      <c r="O840" s="35"/>
      <c r="P840" s="35"/>
      <c r="Q840" s="35"/>
    </row>
    <row r="841" spans="1:17">
      <c r="A841" s="36" t="s">
        <v>2148</v>
      </c>
      <c r="B841" s="36" t="s">
        <v>3975</v>
      </c>
      <c r="C841" s="37" t="s">
        <v>2645</v>
      </c>
      <c r="D841" s="37" t="s">
        <v>2644</v>
      </c>
      <c r="E841" s="37"/>
      <c r="F841" s="37" t="s">
        <v>2645</v>
      </c>
      <c r="G841" s="37" t="s">
        <v>2644</v>
      </c>
      <c r="H841" s="35"/>
      <c r="J841" s="35"/>
      <c r="K841" s="35"/>
      <c r="L841" s="35"/>
      <c r="M841" s="35"/>
      <c r="N841" s="35"/>
      <c r="O841" s="35"/>
      <c r="P841" s="35"/>
      <c r="Q841" s="35"/>
    </row>
    <row r="842" spans="1:17">
      <c r="A842" s="36" t="s">
        <v>2150</v>
      </c>
      <c r="B842" s="36" t="s">
        <v>3976</v>
      </c>
      <c r="C842" s="37" t="s">
        <v>2645</v>
      </c>
      <c r="D842" s="37" t="s">
        <v>2644</v>
      </c>
      <c r="E842" s="37"/>
      <c r="F842" s="37" t="s">
        <v>2645</v>
      </c>
      <c r="G842" s="37" t="s">
        <v>2644</v>
      </c>
      <c r="H842" s="35"/>
      <c r="J842" s="35"/>
      <c r="K842" s="35"/>
      <c r="L842" s="35"/>
      <c r="M842" s="35"/>
      <c r="N842" s="35"/>
      <c r="O842" s="35"/>
      <c r="P842" s="35"/>
      <c r="Q842" s="35"/>
    </row>
    <row r="843" spans="1:17">
      <c r="A843" s="36" t="s">
        <v>2152</v>
      </c>
      <c r="B843" s="36" t="s">
        <v>3977</v>
      </c>
      <c r="C843" s="37" t="s">
        <v>2645</v>
      </c>
      <c r="D843" s="37" t="s">
        <v>2644</v>
      </c>
      <c r="E843" s="37"/>
      <c r="F843" s="37" t="s">
        <v>2645</v>
      </c>
      <c r="G843" s="37" t="s">
        <v>2644</v>
      </c>
      <c r="H843" s="35"/>
      <c r="J843" s="35"/>
      <c r="K843" s="35"/>
      <c r="L843" s="35"/>
      <c r="M843" s="35"/>
      <c r="N843" s="35"/>
      <c r="O843" s="35"/>
      <c r="P843" s="35"/>
      <c r="Q843" s="35"/>
    </row>
    <row r="844" spans="1:17">
      <c r="A844" s="36" t="s">
        <v>2154</v>
      </c>
      <c r="B844" s="36" t="s">
        <v>3978</v>
      </c>
      <c r="C844" s="37" t="s">
        <v>2645</v>
      </c>
      <c r="D844" s="37" t="s">
        <v>2644</v>
      </c>
      <c r="E844" s="37"/>
      <c r="F844" s="37" t="s">
        <v>2645</v>
      </c>
      <c r="G844" s="37" t="s">
        <v>2644</v>
      </c>
      <c r="H844" s="35"/>
      <c r="J844" s="35"/>
      <c r="K844" s="35"/>
      <c r="L844" s="35"/>
      <c r="M844" s="35"/>
      <c r="N844" s="35"/>
      <c r="O844" s="35"/>
      <c r="P844" s="35"/>
      <c r="Q844" s="35"/>
    </row>
    <row r="845" spans="1:17">
      <c r="A845" s="36" t="s">
        <v>2156</v>
      </c>
      <c r="B845" s="36" t="s">
        <v>3979</v>
      </c>
      <c r="C845" s="37" t="s">
        <v>2645</v>
      </c>
      <c r="D845" s="37" t="s">
        <v>2644</v>
      </c>
      <c r="E845" s="37"/>
      <c r="F845" s="37" t="s">
        <v>2645</v>
      </c>
      <c r="G845" s="37" t="s">
        <v>2644</v>
      </c>
      <c r="H845" s="35"/>
      <c r="J845" s="35"/>
      <c r="K845" s="35"/>
      <c r="L845" s="35"/>
      <c r="M845" s="35"/>
      <c r="N845" s="35"/>
      <c r="O845" s="35"/>
      <c r="P845" s="35"/>
      <c r="Q845" s="35"/>
    </row>
    <row r="846" spans="1:17">
      <c r="A846" s="36" t="s">
        <v>2158</v>
      </c>
      <c r="B846" s="36" t="s">
        <v>3980</v>
      </c>
      <c r="C846" s="37" t="s">
        <v>2645</v>
      </c>
      <c r="D846" s="37" t="s">
        <v>2644</v>
      </c>
      <c r="E846" s="37"/>
      <c r="F846" s="37" t="s">
        <v>2645</v>
      </c>
      <c r="G846" s="37" t="s">
        <v>2644</v>
      </c>
      <c r="H846" s="35"/>
      <c r="J846" s="35"/>
      <c r="K846" s="35"/>
      <c r="L846" s="35"/>
      <c r="M846" s="35"/>
      <c r="N846" s="35"/>
      <c r="O846" s="35"/>
      <c r="P846" s="35"/>
      <c r="Q846" s="35"/>
    </row>
    <row r="847" spans="1:17">
      <c r="A847" s="36" t="s">
        <v>2160</v>
      </c>
      <c r="B847" s="36" t="s">
        <v>3981</v>
      </c>
      <c r="C847" s="37" t="s">
        <v>2645</v>
      </c>
      <c r="D847" s="37" t="s">
        <v>2644</v>
      </c>
      <c r="E847" s="37"/>
      <c r="F847" s="37" t="s">
        <v>2645</v>
      </c>
      <c r="G847" s="37" t="s">
        <v>2644</v>
      </c>
      <c r="H847" s="35"/>
      <c r="J847" s="35"/>
      <c r="K847" s="35"/>
      <c r="L847" s="35"/>
      <c r="M847" s="35"/>
      <c r="N847" s="35"/>
      <c r="O847" s="35"/>
      <c r="P847" s="35"/>
      <c r="Q847" s="35"/>
    </row>
    <row r="848" spans="1:17">
      <c r="A848" s="36" t="s">
        <v>2162</v>
      </c>
      <c r="B848" s="36" t="s">
        <v>3982</v>
      </c>
      <c r="C848" s="37" t="s">
        <v>2645</v>
      </c>
      <c r="D848" s="37" t="s">
        <v>2644</v>
      </c>
      <c r="E848" s="37"/>
      <c r="F848" s="37" t="s">
        <v>2645</v>
      </c>
      <c r="G848" s="37" t="s">
        <v>2644</v>
      </c>
      <c r="H848" s="35"/>
      <c r="J848" s="35"/>
      <c r="K848" s="35"/>
      <c r="L848" s="35"/>
      <c r="M848" s="35"/>
      <c r="N848" s="35"/>
      <c r="O848" s="35"/>
      <c r="P848" s="35"/>
      <c r="Q848" s="35"/>
    </row>
    <row r="849" spans="1:17">
      <c r="A849" s="36" t="s">
        <v>2164</v>
      </c>
      <c r="B849" s="36" t="s">
        <v>3983</v>
      </c>
      <c r="C849" s="37" t="s">
        <v>2645</v>
      </c>
      <c r="D849" s="37" t="s">
        <v>2644</v>
      </c>
      <c r="E849" s="37"/>
      <c r="F849" s="37" t="s">
        <v>2645</v>
      </c>
      <c r="G849" s="37" t="s">
        <v>2644</v>
      </c>
      <c r="H849" s="35"/>
      <c r="J849" s="35"/>
      <c r="K849" s="35"/>
      <c r="L849" s="35"/>
      <c r="M849" s="35"/>
      <c r="N849" s="35"/>
      <c r="O849" s="35"/>
      <c r="P849" s="35"/>
      <c r="Q849" s="35"/>
    </row>
    <row r="850" spans="1:17">
      <c r="A850" s="36" t="s">
        <v>2166</v>
      </c>
      <c r="B850" s="36" t="s">
        <v>3984</v>
      </c>
      <c r="C850" s="37" t="s">
        <v>2645</v>
      </c>
      <c r="D850" s="37" t="s">
        <v>2644</v>
      </c>
      <c r="E850" s="37"/>
      <c r="F850" s="37" t="s">
        <v>2645</v>
      </c>
      <c r="G850" s="37" t="s">
        <v>2644</v>
      </c>
      <c r="H850" s="35"/>
      <c r="J850" s="35"/>
      <c r="K850" s="35"/>
      <c r="L850" s="35"/>
      <c r="M850" s="35"/>
      <c r="N850" s="35"/>
      <c r="O850" s="35"/>
      <c r="P850" s="35"/>
      <c r="Q850" s="35"/>
    </row>
    <row r="851" spans="1:17">
      <c r="A851" s="36" t="s">
        <v>2168</v>
      </c>
      <c r="B851" s="36" t="s">
        <v>3985</v>
      </c>
      <c r="C851" s="37" t="s">
        <v>2645</v>
      </c>
      <c r="D851" s="37" t="s">
        <v>2644</v>
      </c>
      <c r="E851" s="37"/>
      <c r="F851" s="37" t="s">
        <v>2645</v>
      </c>
      <c r="G851" s="37" t="s">
        <v>2644</v>
      </c>
      <c r="H851" s="35"/>
      <c r="J851" s="35"/>
      <c r="K851" s="35"/>
      <c r="L851" s="35"/>
      <c r="M851" s="35"/>
      <c r="N851" s="35"/>
      <c r="O851" s="35"/>
      <c r="P851" s="35"/>
      <c r="Q851" s="35"/>
    </row>
    <row r="852" spans="1:17">
      <c r="A852" s="36" t="s">
        <v>3986</v>
      </c>
      <c r="B852" s="36" t="s">
        <v>3987</v>
      </c>
      <c r="C852" s="37"/>
      <c r="D852" s="37"/>
      <c r="E852" s="37"/>
      <c r="F852" s="37"/>
      <c r="G852" s="37"/>
      <c r="H852" s="35"/>
      <c r="J852" s="35"/>
      <c r="K852" s="35"/>
      <c r="L852" s="35"/>
      <c r="M852" s="35"/>
      <c r="N852" s="35"/>
      <c r="O852" s="35"/>
      <c r="P852" s="35"/>
      <c r="Q852" s="35"/>
    </row>
    <row r="853" spans="1:17">
      <c r="A853" s="36" t="s">
        <v>2170</v>
      </c>
      <c r="B853" s="36" t="s">
        <v>3988</v>
      </c>
      <c r="C853" s="37" t="s">
        <v>2645</v>
      </c>
      <c r="D853" s="37" t="s">
        <v>2644</v>
      </c>
      <c r="E853" s="37"/>
      <c r="F853" s="37" t="s">
        <v>2645</v>
      </c>
      <c r="G853" s="37" t="s">
        <v>2644</v>
      </c>
      <c r="H853" s="35"/>
      <c r="J853" s="35"/>
      <c r="K853" s="35"/>
      <c r="L853" s="35"/>
      <c r="M853" s="35"/>
      <c r="N853" s="35"/>
      <c r="O853" s="35"/>
      <c r="P853" s="35"/>
      <c r="Q853" s="35"/>
    </row>
    <row r="854" spans="1:17">
      <c r="A854" s="36" t="s">
        <v>2172</v>
      </c>
      <c r="B854" s="36" t="s">
        <v>3989</v>
      </c>
      <c r="C854" s="37" t="s">
        <v>2645</v>
      </c>
      <c r="D854" s="37" t="s">
        <v>2644</v>
      </c>
      <c r="E854" s="37"/>
      <c r="F854" s="37" t="s">
        <v>2645</v>
      </c>
      <c r="G854" s="37" t="s">
        <v>2644</v>
      </c>
      <c r="H854" s="35"/>
      <c r="J854" s="35"/>
      <c r="K854" s="35"/>
      <c r="L854" s="35"/>
      <c r="M854" s="35"/>
      <c r="N854" s="35"/>
      <c r="O854" s="35"/>
      <c r="P854" s="35"/>
      <c r="Q854" s="35"/>
    </row>
    <row r="855" spans="1:17">
      <c r="A855" s="36" t="s">
        <v>2174</v>
      </c>
      <c r="B855" s="36" t="s">
        <v>3990</v>
      </c>
      <c r="C855" s="37" t="s">
        <v>2645</v>
      </c>
      <c r="D855" s="37" t="s">
        <v>2644</v>
      </c>
      <c r="E855" s="37"/>
      <c r="F855" s="37" t="s">
        <v>2645</v>
      </c>
      <c r="G855" s="37" t="s">
        <v>2644</v>
      </c>
      <c r="H855" s="35"/>
      <c r="J855" s="35"/>
      <c r="K855" s="35"/>
      <c r="L855" s="35"/>
      <c r="M855" s="35"/>
      <c r="N855" s="35"/>
      <c r="O855" s="35"/>
      <c r="P855" s="35"/>
      <c r="Q855" s="35"/>
    </row>
    <row r="856" spans="1:17">
      <c r="A856" s="36" t="s">
        <v>2176</v>
      </c>
      <c r="B856" s="36" t="s">
        <v>3991</v>
      </c>
      <c r="C856" s="37" t="s">
        <v>2645</v>
      </c>
      <c r="D856" s="37" t="s">
        <v>2644</v>
      </c>
      <c r="E856" s="37"/>
      <c r="F856" s="37" t="s">
        <v>2645</v>
      </c>
      <c r="G856" s="37" t="s">
        <v>2644</v>
      </c>
      <c r="H856" s="35"/>
      <c r="J856" s="35"/>
      <c r="K856" s="35"/>
      <c r="L856" s="35"/>
      <c r="M856" s="35"/>
      <c r="N856" s="35"/>
      <c r="O856" s="35"/>
      <c r="P856" s="35"/>
      <c r="Q856" s="35"/>
    </row>
    <row r="857" spans="1:17">
      <c r="A857" s="36" t="s">
        <v>2178</v>
      </c>
      <c r="B857" s="36" t="s">
        <v>3992</v>
      </c>
      <c r="C857" s="37" t="s">
        <v>2645</v>
      </c>
      <c r="D857" s="37" t="s">
        <v>2644</v>
      </c>
      <c r="E857" s="37"/>
      <c r="F857" s="37" t="s">
        <v>2645</v>
      </c>
      <c r="G857" s="37" t="s">
        <v>2644</v>
      </c>
      <c r="H857" s="35"/>
      <c r="J857" s="35"/>
      <c r="K857" s="35"/>
      <c r="L857" s="35"/>
      <c r="M857" s="35"/>
      <c r="N857" s="35"/>
      <c r="O857" s="35"/>
      <c r="P857" s="35"/>
      <c r="Q857" s="35"/>
    </row>
    <row r="858" spans="1:17">
      <c r="A858" s="36" t="s">
        <v>2180</v>
      </c>
      <c r="B858" s="36" t="s">
        <v>3993</v>
      </c>
      <c r="C858" s="37" t="s">
        <v>2645</v>
      </c>
      <c r="D858" s="37" t="s">
        <v>2644</v>
      </c>
      <c r="E858" s="37"/>
      <c r="F858" s="37" t="s">
        <v>2645</v>
      </c>
      <c r="G858" s="37" t="s">
        <v>2644</v>
      </c>
      <c r="H858" s="35"/>
      <c r="J858" s="35"/>
      <c r="K858" s="35"/>
      <c r="L858" s="35"/>
      <c r="M858" s="35"/>
      <c r="N858" s="35"/>
      <c r="O858" s="35"/>
      <c r="P858" s="35"/>
      <c r="Q858" s="35"/>
    </row>
    <row r="859" spans="1:17">
      <c r="A859" s="36" t="s">
        <v>3994</v>
      </c>
      <c r="B859" s="36" t="s">
        <v>3995</v>
      </c>
      <c r="C859" s="37"/>
      <c r="D859" s="37"/>
      <c r="E859" s="37"/>
      <c r="F859" s="37"/>
      <c r="G859" s="37"/>
      <c r="H859" s="35"/>
      <c r="J859" s="35"/>
      <c r="K859" s="35"/>
      <c r="L859" s="35"/>
      <c r="M859" s="35"/>
      <c r="N859" s="35"/>
      <c r="O859" s="35"/>
      <c r="P859" s="35"/>
      <c r="Q859" s="35"/>
    </row>
    <row r="860" spans="1:17">
      <c r="A860" s="36" t="s">
        <v>2182</v>
      </c>
      <c r="B860" s="36" t="s">
        <v>3996</v>
      </c>
      <c r="C860" s="37" t="s">
        <v>2677</v>
      </c>
      <c r="D860" s="37" t="s">
        <v>2676</v>
      </c>
      <c r="E860" s="37"/>
      <c r="F860" s="37" t="s">
        <v>2677</v>
      </c>
      <c r="G860" s="37" t="s">
        <v>2676</v>
      </c>
      <c r="H860" s="35"/>
      <c r="J860" s="35"/>
      <c r="K860" s="35"/>
      <c r="L860" s="35"/>
      <c r="M860" s="35"/>
      <c r="N860" s="35"/>
      <c r="O860" s="35"/>
      <c r="P860" s="35"/>
      <c r="Q860" s="35"/>
    </row>
    <row r="861" spans="1:17">
      <c r="A861" s="36" t="s">
        <v>2184</v>
      </c>
      <c r="B861" s="36" t="s">
        <v>3997</v>
      </c>
      <c r="C861" s="37" t="s">
        <v>2677</v>
      </c>
      <c r="D861" s="37" t="s">
        <v>2676</v>
      </c>
      <c r="E861" s="37"/>
      <c r="F861" s="37" t="s">
        <v>2677</v>
      </c>
      <c r="G861" s="37" t="s">
        <v>2676</v>
      </c>
      <c r="H861" s="35"/>
      <c r="J861" s="35"/>
      <c r="K861" s="35"/>
      <c r="L861" s="35"/>
      <c r="M861" s="35"/>
      <c r="N861" s="35"/>
      <c r="O861" s="35"/>
      <c r="P861" s="35"/>
      <c r="Q861" s="35"/>
    </row>
    <row r="862" spans="1:17">
      <c r="A862" s="36" t="s">
        <v>2186</v>
      </c>
      <c r="B862" s="36" t="s">
        <v>3998</v>
      </c>
      <c r="C862" s="37" t="s">
        <v>2677</v>
      </c>
      <c r="D862" s="37" t="s">
        <v>2676</v>
      </c>
      <c r="E862" s="37"/>
      <c r="F862" s="37" t="s">
        <v>2677</v>
      </c>
      <c r="G862" s="37" t="s">
        <v>2676</v>
      </c>
      <c r="H862" s="35"/>
      <c r="J862" s="35"/>
      <c r="K862" s="35"/>
      <c r="L862" s="35"/>
      <c r="M862" s="35"/>
      <c r="N862" s="35"/>
      <c r="O862" s="35"/>
      <c r="P862" s="35"/>
      <c r="Q862" s="35"/>
    </row>
    <row r="863" spans="1:17">
      <c r="A863" s="36" t="s">
        <v>2188</v>
      </c>
      <c r="B863" s="36" t="s">
        <v>3999</v>
      </c>
      <c r="C863" s="37" t="s">
        <v>2677</v>
      </c>
      <c r="D863" s="37" t="s">
        <v>2676</v>
      </c>
      <c r="E863" s="37"/>
      <c r="F863" s="37" t="s">
        <v>2677</v>
      </c>
      <c r="G863" s="37" t="s">
        <v>2676</v>
      </c>
      <c r="H863" s="35"/>
      <c r="J863" s="35"/>
      <c r="K863" s="35"/>
      <c r="L863" s="35"/>
      <c r="M863" s="35"/>
      <c r="N863" s="35"/>
      <c r="O863" s="35"/>
      <c r="P863" s="35"/>
      <c r="Q863" s="35"/>
    </row>
    <row r="864" spans="1:17">
      <c r="A864" s="36" t="s">
        <v>2190</v>
      </c>
      <c r="B864" s="36" t="s">
        <v>4000</v>
      </c>
      <c r="C864" s="37" t="s">
        <v>2677</v>
      </c>
      <c r="D864" s="37" t="s">
        <v>2676</v>
      </c>
      <c r="E864" s="37"/>
      <c r="F864" s="37" t="s">
        <v>2677</v>
      </c>
      <c r="G864" s="37" t="s">
        <v>2676</v>
      </c>
      <c r="H864" s="35"/>
      <c r="J864" s="35"/>
      <c r="K864" s="35"/>
      <c r="L864" s="35"/>
      <c r="M864" s="35"/>
      <c r="N864" s="35"/>
      <c r="O864" s="35"/>
      <c r="P864" s="35"/>
      <c r="Q864" s="35"/>
    </row>
    <row r="865" spans="1:17">
      <c r="A865" s="36" t="s">
        <v>2192</v>
      </c>
      <c r="B865" s="36" t="s">
        <v>4001</v>
      </c>
      <c r="C865" s="37" t="s">
        <v>2677</v>
      </c>
      <c r="D865" s="37" t="s">
        <v>2676</v>
      </c>
      <c r="E865" s="37"/>
      <c r="F865" s="37" t="s">
        <v>2677</v>
      </c>
      <c r="G865" s="37" t="s">
        <v>2676</v>
      </c>
      <c r="H865" s="35"/>
      <c r="J865" s="35"/>
      <c r="K865" s="35"/>
      <c r="L865" s="35"/>
      <c r="M865" s="35"/>
      <c r="N865" s="35"/>
      <c r="O865" s="35"/>
      <c r="P865" s="35"/>
      <c r="Q865" s="35"/>
    </row>
    <row r="866" spans="1:17">
      <c r="A866" s="36" t="s">
        <v>4002</v>
      </c>
      <c r="B866" s="36" t="s">
        <v>4003</v>
      </c>
      <c r="C866" s="37"/>
      <c r="D866" s="37"/>
      <c r="E866" s="37"/>
      <c r="F866" s="37"/>
      <c r="G866" s="37"/>
      <c r="H866" s="35"/>
      <c r="J866" s="35"/>
      <c r="K866" s="35"/>
      <c r="L866" s="35"/>
      <c r="M866" s="35"/>
      <c r="N866" s="35"/>
      <c r="O866" s="35"/>
      <c r="P866" s="35"/>
      <c r="Q866" s="35"/>
    </row>
    <row r="867" spans="1:17">
      <c r="A867" s="36" t="s">
        <v>2194</v>
      </c>
      <c r="B867" s="36" t="s">
        <v>4004</v>
      </c>
      <c r="C867" s="37" t="s">
        <v>2780</v>
      </c>
      <c r="D867" s="37" t="s">
        <v>2779</v>
      </c>
      <c r="E867" s="37"/>
      <c r="F867" s="37" t="s">
        <v>2780</v>
      </c>
      <c r="G867" s="37" t="s">
        <v>2779</v>
      </c>
      <c r="H867" s="35"/>
      <c r="J867" s="35"/>
      <c r="K867" s="35"/>
      <c r="L867" s="35"/>
      <c r="M867" s="35"/>
      <c r="N867" s="35"/>
      <c r="O867" s="35"/>
      <c r="P867" s="35"/>
      <c r="Q867" s="35"/>
    </row>
    <row r="868" spans="1:17">
      <c r="A868" s="36" t="s">
        <v>2196</v>
      </c>
      <c r="B868" s="36" t="s">
        <v>4005</v>
      </c>
      <c r="C868" s="37" t="s">
        <v>2780</v>
      </c>
      <c r="D868" s="37" t="s">
        <v>2779</v>
      </c>
      <c r="E868" s="37"/>
      <c r="F868" s="37" t="s">
        <v>2780</v>
      </c>
      <c r="G868" s="37" t="s">
        <v>2779</v>
      </c>
      <c r="H868" s="35"/>
      <c r="J868" s="35"/>
      <c r="K868" s="35"/>
      <c r="L868" s="35"/>
      <c r="M868" s="35"/>
      <c r="N868" s="35"/>
      <c r="O868" s="35"/>
      <c r="P868" s="35"/>
      <c r="Q868" s="35"/>
    </row>
    <row r="869" spans="1:17">
      <c r="A869" s="36" t="s">
        <v>2198</v>
      </c>
      <c r="B869" s="36" t="s">
        <v>4006</v>
      </c>
      <c r="C869" s="37" t="s">
        <v>2780</v>
      </c>
      <c r="D869" s="37" t="s">
        <v>2779</v>
      </c>
      <c r="E869" s="37"/>
      <c r="F869" s="37" t="s">
        <v>2780</v>
      </c>
      <c r="G869" s="37" t="s">
        <v>2779</v>
      </c>
      <c r="H869" s="35"/>
      <c r="J869" s="35"/>
      <c r="K869" s="35"/>
      <c r="L869" s="35"/>
      <c r="M869" s="35"/>
      <c r="N869" s="35"/>
      <c r="O869" s="35"/>
      <c r="P869" s="35"/>
      <c r="Q869" s="35"/>
    </row>
    <row r="870" spans="1:17">
      <c r="A870" s="36" t="s">
        <v>2200</v>
      </c>
      <c r="B870" s="36" t="s">
        <v>4007</v>
      </c>
      <c r="C870" s="37" t="s">
        <v>2780</v>
      </c>
      <c r="D870" s="37" t="s">
        <v>2779</v>
      </c>
      <c r="E870" s="37"/>
      <c r="F870" s="37" t="s">
        <v>2780</v>
      </c>
      <c r="G870" s="37" t="s">
        <v>2779</v>
      </c>
      <c r="H870" s="35"/>
      <c r="J870" s="35"/>
      <c r="K870" s="35"/>
      <c r="L870" s="35"/>
      <c r="M870" s="35"/>
      <c r="N870" s="35"/>
      <c r="O870" s="35"/>
      <c r="P870" s="35"/>
      <c r="Q870" s="35"/>
    </row>
    <row r="871" spans="1:17">
      <c r="A871" s="36" t="s">
        <v>2202</v>
      </c>
      <c r="B871" s="36" t="s">
        <v>4008</v>
      </c>
      <c r="C871" s="37" t="s">
        <v>2780</v>
      </c>
      <c r="D871" s="37" t="s">
        <v>2779</v>
      </c>
      <c r="E871" s="37"/>
      <c r="F871" s="37" t="s">
        <v>2780</v>
      </c>
      <c r="G871" s="37" t="s">
        <v>2779</v>
      </c>
      <c r="H871" s="35"/>
      <c r="J871" s="35"/>
      <c r="K871" s="35"/>
      <c r="L871" s="35"/>
      <c r="M871" s="35"/>
      <c r="N871" s="35"/>
      <c r="O871" s="35"/>
      <c r="P871" s="35"/>
      <c r="Q871" s="35"/>
    </row>
    <row r="872" spans="1:17">
      <c r="A872" s="36" t="s">
        <v>2204</v>
      </c>
      <c r="B872" s="36" t="s">
        <v>4009</v>
      </c>
      <c r="C872" s="37" t="s">
        <v>2780</v>
      </c>
      <c r="D872" s="37" t="s">
        <v>2779</v>
      </c>
      <c r="E872" s="37"/>
      <c r="F872" s="37" t="s">
        <v>2780</v>
      </c>
      <c r="G872" s="37" t="s">
        <v>2779</v>
      </c>
      <c r="H872" s="35"/>
      <c r="J872" s="35"/>
      <c r="K872" s="35"/>
      <c r="L872" s="35"/>
      <c r="M872" s="35"/>
      <c r="N872" s="35"/>
      <c r="O872" s="35"/>
      <c r="P872" s="35"/>
      <c r="Q872" s="35"/>
    </row>
    <row r="873" spans="1:17">
      <c r="A873" s="36" t="s">
        <v>2206</v>
      </c>
      <c r="B873" s="36" t="s">
        <v>4010</v>
      </c>
      <c r="C873" s="37" t="s">
        <v>2780</v>
      </c>
      <c r="D873" s="37" t="s">
        <v>2779</v>
      </c>
      <c r="E873" s="37"/>
      <c r="F873" s="37" t="s">
        <v>2780</v>
      </c>
      <c r="G873" s="37" t="s">
        <v>2779</v>
      </c>
      <c r="H873" s="35"/>
      <c r="J873" s="35"/>
      <c r="K873" s="35"/>
      <c r="L873" s="35"/>
      <c r="M873" s="35"/>
      <c r="N873" s="35"/>
      <c r="O873" s="35"/>
      <c r="P873" s="35"/>
      <c r="Q873" s="35"/>
    </row>
    <row r="874" spans="1:17">
      <c r="A874" s="36" t="s">
        <v>2208</v>
      </c>
      <c r="B874" s="36" t="s">
        <v>4011</v>
      </c>
      <c r="C874" s="37" t="s">
        <v>2780</v>
      </c>
      <c r="D874" s="37" t="s">
        <v>2779</v>
      </c>
      <c r="E874" s="37"/>
      <c r="F874" s="37" t="s">
        <v>2780</v>
      </c>
      <c r="G874" s="37" t="s">
        <v>2779</v>
      </c>
      <c r="H874" s="35"/>
      <c r="J874" s="35"/>
      <c r="K874" s="35"/>
      <c r="L874" s="35"/>
      <c r="M874" s="35"/>
      <c r="N874" s="35"/>
      <c r="O874" s="35"/>
      <c r="P874" s="35"/>
      <c r="Q874" s="35"/>
    </row>
    <row r="875" spans="1:17">
      <c r="A875" s="36" t="s">
        <v>4012</v>
      </c>
      <c r="B875" s="36" t="s">
        <v>4013</v>
      </c>
      <c r="C875" s="37"/>
      <c r="D875" s="37"/>
      <c r="E875" s="37"/>
      <c r="F875" s="37"/>
      <c r="G875" s="37"/>
      <c r="H875" s="35"/>
      <c r="J875" s="35"/>
      <c r="K875" s="35"/>
      <c r="L875" s="35"/>
      <c r="M875" s="35"/>
      <c r="N875" s="35"/>
      <c r="O875" s="35"/>
      <c r="P875" s="35"/>
      <c r="Q875" s="35"/>
    </row>
    <row r="876" spans="1:17">
      <c r="A876" s="36" t="s">
        <v>2210</v>
      </c>
      <c r="B876" s="36" t="s">
        <v>4014</v>
      </c>
      <c r="C876" s="37" t="s">
        <v>2790</v>
      </c>
      <c r="D876" s="37" t="s">
        <v>2789</v>
      </c>
      <c r="E876" s="37"/>
      <c r="F876" s="37" t="s">
        <v>2790</v>
      </c>
      <c r="G876" s="37" t="s">
        <v>2789</v>
      </c>
      <c r="H876" s="35"/>
      <c r="J876" s="35"/>
      <c r="K876" s="35"/>
      <c r="L876" s="35"/>
      <c r="M876" s="35"/>
      <c r="N876" s="35"/>
      <c r="O876" s="35"/>
      <c r="P876" s="35"/>
      <c r="Q876" s="35"/>
    </row>
    <row r="877" spans="1:17">
      <c r="A877" s="36" t="s">
        <v>4015</v>
      </c>
      <c r="B877" s="36" t="s">
        <v>4016</v>
      </c>
      <c r="C877" s="37"/>
      <c r="D877" s="37"/>
      <c r="E877" s="37"/>
      <c r="F877" s="37"/>
      <c r="G877" s="37"/>
      <c r="H877" s="35"/>
      <c r="J877" s="35"/>
      <c r="K877" s="35"/>
      <c r="L877" s="35"/>
      <c r="M877" s="35"/>
      <c r="N877" s="35"/>
      <c r="O877" s="35"/>
      <c r="P877" s="35"/>
      <c r="Q877" s="35"/>
    </row>
    <row r="878" spans="1:17">
      <c r="A878" s="36" t="s">
        <v>2212</v>
      </c>
      <c r="B878" s="36" t="s">
        <v>4017</v>
      </c>
      <c r="C878" s="37" t="s">
        <v>2866</v>
      </c>
      <c r="D878" s="37" t="s">
        <v>2865</v>
      </c>
      <c r="E878" s="37"/>
      <c r="F878" s="37" t="s">
        <v>2866</v>
      </c>
      <c r="G878" s="37" t="s">
        <v>2865</v>
      </c>
      <c r="H878" s="35"/>
      <c r="J878" s="35"/>
      <c r="K878" s="35"/>
      <c r="L878" s="35"/>
      <c r="M878" s="35"/>
      <c r="N878" s="35"/>
      <c r="O878" s="35"/>
      <c r="P878" s="35"/>
      <c r="Q878" s="35"/>
    </row>
    <row r="879" spans="1:17">
      <c r="A879" s="36" t="s">
        <v>2214</v>
      </c>
      <c r="B879" s="36" t="s">
        <v>4018</v>
      </c>
      <c r="C879" s="37" t="s">
        <v>2866</v>
      </c>
      <c r="D879" s="37" t="s">
        <v>2865</v>
      </c>
      <c r="E879" s="37"/>
      <c r="F879" s="37" t="s">
        <v>2866</v>
      </c>
      <c r="G879" s="37" t="s">
        <v>2865</v>
      </c>
      <c r="H879" s="35"/>
      <c r="J879" s="35"/>
      <c r="K879" s="35"/>
      <c r="L879" s="35"/>
      <c r="M879" s="35"/>
      <c r="N879" s="35"/>
      <c r="O879" s="35"/>
      <c r="P879" s="35"/>
      <c r="Q879" s="35"/>
    </row>
    <row r="880" spans="1:17">
      <c r="A880" s="36" t="s">
        <v>2216</v>
      </c>
      <c r="B880" s="36" t="s">
        <v>4019</v>
      </c>
      <c r="C880" s="37" t="s">
        <v>2866</v>
      </c>
      <c r="D880" s="37" t="s">
        <v>2865</v>
      </c>
      <c r="E880" s="37"/>
      <c r="F880" s="37" t="s">
        <v>2866</v>
      </c>
      <c r="G880" s="37" t="s">
        <v>2865</v>
      </c>
      <c r="H880" s="35"/>
      <c r="J880" s="35"/>
      <c r="K880" s="35"/>
      <c r="L880" s="35"/>
      <c r="M880" s="35"/>
      <c r="N880" s="35"/>
      <c r="O880" s="35"/>
      <c r="P880" s="35"/>
      <c r="Q880" s="35"/>
    </row>
    <row r="881" spans="1:17">
      <c r="A881" s="36" t="s">
        <v>2218</v>
      </c>
      <c r="B881" s="36" t="s">
        <v>4020</v>
      </c>
      <c r="C881" s="37" t="s">
        <v>2866</v>
      </c>
      <c r="D881" s="37" t="s">
        <v>2865</v>
      </c>
      <c r="E881" s="37"/>
      <c r="F881" s="37" t="s">
        <v>2866</v>
      </c>
      <c r="G881" s="37" t="s">
        <v>2865</v>
      </c>
      <c r="H881" s="35"/>
      <c r="J881" s="35"/>
      <c r="K881" s="35"/>
      <c r="L881" s="35"/>
      <c r="M881" s="35"/>
      <c r="N881" s="35"/>
      <c r="O881" s="35"/>
      <c r="P881" s="35"/>
      <c r="Q881" s="35"/>
    </row>
    <row r="882" spans="1:17">
      <c r="A882" s="36" t="s">
        <v>2220</v>
      </c>
      <c r="B882" s="36" t="s">
        <v>4021</v>
      </c>
      <c r="C882" s="37" t="s">
        <v>2866</v>
      </c>
      <c r="D882" s="37" t="s">
        <v>2865</v>
      </c>
      <c r="E882" s="37"/>
      <c r="F882" s="37" t="s">
        <v>2866</v>
      </c>
      <c r="G882" s="37" t="s">
        <v>2865</v>
      </c>
      <c r="H882" s="35"/>
      <c r="J882" s="35"/>
      <c r="K882" s="35"/>
      <c r="L882" s="35"/>
      <c r="M882" s="35"/>
      <c r="N882" s="35"/>
      <c r="O882" s="35"/>
      <c r="P882" s="35"/>
      <c r="Q882" s="35"/>
    </row>
    <row r="883" spans="1:17">
      <c r="A883" s="36" t="s">
        <v>2222</v>
      </c>
      <c r="B883" s="36" t="s">
        <v>4022</v>
      </c>
      <c r="C883" s="37" t="s">
        <v>2866</v>
      </c>
      <c r="D883" s="37" t="s">
        <v>2865</v>
      </c>
      <c r="E883" s="37"/>
      <c r="F883" s="37" t="s">
        <v>2866</v>
      </c>
      <c r="G883" s="37" t="s">
        <v>2865</v>
      </c>
      <c r="H883" s="35"/>
      <c r="J883" s="35"/>
      <c r="K883" s="35"/>
      <c r="L883" s="35"/>
      <c r="M883" s="35"/>
      <c r="N883" s="35"/>
      <c r="O883" s="35"/>
      <c r="P883" s="35"/>
      <c r="Q883" s="35"/>
    </row>
    <row r="884" spans="1:17">
      <c r="A884" s="36" t="s">
        <v>2224</v>
      </c>
      <c r="B884" s="36" t="s">
        <v>4023</v>
      </c>
      <c r="C884" s="37" t="s">
        <v>4024</v>
      </c>
      <c r="D884" s="37" t="s">
        <v>4025</v>
      </c>
      <c r="E884" s="37"/>
      <c r="F884" s="37" t="s">
        <v>4024</v>
      </c>
      <c r="G884" s="37" t="s">
        <v>4025</v>
      </c>
      <c r="H884" s="35"/>
      <c r="J884" s="35"/>
      <c r="K884" s="35"/>
      <c r="L884" s="35"/>
      <c r="M884" s="35"/>
      <c r="N884" s="35"/>
      <c r="O884" s="35"/>
      <c r="P884" s="35"/>
      <c r="Q884" s="35"/>
    </row>
    <row r="885" spans="1:17">
      <c r="A885" s="36" t="s">
        <v>2226</v>
      </c>
      <c r="B885" s="36" t="s">
        <v>4026</v>
      </c>
      <c r="C885" s="37" t="s">
        <v>4027</v>
      </c>
      <c r="D885" s="37" t="s">
        <v>4028</v>
      </c>
      <c r="E885" s="37"/>
      <c r="F885" s="37" t="s">
        <v>4027</v>
      </c>
      <c r="G885" s="37" t="s">
        <v>4028</v>
      </c>
      <c r="H885" s="35"/>
      <c r="J885" s="35"/>
      <c r="K885" s="35"/>
      <c r="L885" s="35"/>
      <c r="M885" s="35"/>
      <c r="N885" s="35"/>
      <c r="O885" s="35"/>
      <c r="P885" s="35"/>
      <c r="Q885" s="35"/>
    </row>
    <row r="886" spans="1:17">
      <c r="A886" s="36" t="s">
        <v>2228</v>
      </c>
      <c r="B886" s="36" t="s">
        <v>4029</v>
      </c>
      <c r="C886" s="37" t="s">
        <v>2866</v>
      </c>
      <c r="D886" s="37" t="s">
        <v>2865</v>
      </c>
      <c r="E886" s="37"/>
      <c r="F886" s="37" t="s">
        <v>2866</v>
      </c>
      <c r="G886" s="37" t="s">
        <v>2865</v>
      </c>
      <c r="H886" s="35"/>
      <c r="J886" s="35"/>
      <c r="K886" s="35"/>
      <c r="L886" s="35"/>
      <c r="M886" s="35"/>
      <c r="N886" s="35"/>
      <c r="O886" s="35"/>
      <c r="P886" s="35"/>
      <c r="Q886" s="35"/>
    </row>
    <row r="887" spans="1:17">
      <c r="A887" s="36" t="s">
        <v>2230</v>
      </c>
      <c r="B887" s="36" t="s">
        <v>4030</v>
      </c>
      <c r="C887" s="37" t="s">
        <v>2866</v>
      </c>
      <c r="D887" s="37" t="s">
        <v>2865</v>
      </c>
      <c r="E887" s="37"/>
      <c r="F887" s="37" t="s">
        <v>2866</v>
      </c>
      <c r="G887" s="37" t="s">
        <v>2865</v>
      </c>
      <c r="H887" s="35"/>
      <c r="J887" s="35"/>
      <c r="K887" s="35"/>
      <c r="L887" s="35"/>
      <c r="M887" s="35"/>
      <c r="N887" s="35"/>
      <c r="O887" s="35"/>
      <c r="P887" s="35"/>
      <c r="Q887" s="35"/>
    </row>
    <row r="888" spans="1:17">
      <c r="A888" s="36" t="s">
        <v>4031</v>
      </c>
      <c r="B888" s="36" t="s">
        <v>4032</v>
      </c>
      <c r="C888" s="37"/>
      <c r="D888" s="37"/>
      <c r="E888" s="37"/>
      <c r="F888" s="37"/>
      <c r="G888" s="37"/>
      <c r="H888" s="35"/>
      <c r="J888" s="35"/>
      <c r="K888" s="35"/>
      <c r="L888" s="35"/>
      <c r="M888" s="35"/>
      <c r="N888" s="35"/>
      <c r="O888" s="35"/>
      <c r="P888" s="35"/>
      <c r="Q888" s="35"/>
    </row>
    <row r="889" spans="1:17">
      <c r="A889" s="36" t="s">
        <v>2232</v>
      </c>
      <c r="B889" s="36" t="s">
        <v>4033</v>
      </c>
      <c r="C889" s="37" t="s">
        <v>2808</v>
      </c>
      <c r="D889" s="37" t="s">
        <v>2611</v>
      </c>
      <c r="E889" s="37"/>
      <c r="F889" s="37" t="s">
        <v>2808</v>
      </c>
      <c r="G889" s="37" t="s">
        <v>2611</v>
      </c>
      <c r="H889" s="35"/>
      <c r="J889" s="35"/>
      <c r="K889" s="35"/>
      <c r="L889" s="35"/>
      <c r="M889" s="35"/>
      <c r="N889" s="35"/>
      <c r="O889" s="35"/>
      <c r="P889" s="35"/>
      <c r="Q889" s="35"/>
    </row>
    <row r="890" spans="1:17">
      <c r="A890" s="36" t="s">
        <v>2234</v>
      </c>
      <c r="B890" s="36" t="s">
        <v>4034</v>
      </c>
      <c r="C890" s="37" t="s">
        <v>2808</v>
      </c>
      <c r="D890" s="37" t="s">
        <v>2611</v>
      </c>
      <c r="E890" s="37"/>
      <c r="F890" s="37" t="s">
        <v>2808</v>
      </c>
      <c r="G890" s="37" t="s">
        <v>2611</v>
      </c>
      <c r="H890" s="35"/>
      <c r="J890" s="35"/>
      <c r="K890" s="35"/>
      <c r="L890" s="35"/>
      <c r="M890" s="35"/>
      <c r="N890" s="35"/>
      <c r="O890" s="35"/>
      <c r="P890" s="35"/>
      <c r="Q890" s="35"/>
    </row>
    <row r="891" spans="1:17">
      <c r="A891" s="36" t="s">
        <v>2236</v>
      </c>
      <c r="B891" s="36" t="s">
        <v>4035</v>
      </c>
      <c r="C891" s="37" t="s">
        <v>2808</v>
      </c>
      <c r="D891" s="37" t="s">
        <v>2611</v>
      </c>
      <c r="E891" s="37"/>
      <c r="F891" s="37" t="s">
        <v>2808</v>
      </c>
      <c r="G891" s="37" t="s">
        <v>2611</v>
      </c>
      <c r="H891" s="35"/>
      <c r="J891" s="35"/>
      <c r="K891" s="35"/>
      <c r="L891" s="35"/>
      <c r="M891" s="35"/>
      <c r="N891" s="35"/>
      <c r="O891" s="35"/>
      <c r="P891" s="35"/>
      <c r="Q891" s="35"/>
    </row>
    <row r="892" spans="1:17">
      <c r="A892" s="36" t="s">
        <v>2238</v>
      </c>
      <c r="B892" s="36" t="s">
        <v>4036</v>
      </c>
      <c r="C892" s="37" t="s">
        <v>2808</v>
      </c>
      <c r="D892" s="37" t="s">
        <v>2611</v>
      </c>
      <c r="E892" s="37"/>
      <c r="F892" s="37" t="s">
        <v>2808</v>
      </c>
      <c r="G892" s="37" t="s">
        <v>2611</v>
      </c>
      <c r="H892" s="35"/>
      <c r="J892" s="35"/>
      <c r="K892" s="35"/>
      <c r="L892" s="35"/>
      <c r="M892" s="35"/>
      <c r="N892" s="35"/>
      <c r="O892" s="35"/>
      <c r="P892" s="35"/>
      <c r="Q892" s="35"/>
    </row>
    <row r="893" spans="1:17">
      <c r="A893" s="36" t="s">
        <v>2240</v>
      </c>
      <c r="B893" s="36" t="s">
        <v>4037</v>
      </c>
      <c r="C893" s="37" t="s">
        <v>2808</v>
      </c>
      <c r="D893" s="37" t="s">
        <v>2611</v>
      </c>
      <c r="E893" s="37"/>
      <c r="F893" s="37" t="s">
        <v>2808</v>
      </c>
      <c r="G893" s="37" t="s">
        <v>2611</v>
      </c>
      <c r="H893" s="35"/>
      <c r="J893" s="35"/>
      <c r="K893" s="35"/>
      <c r="L893" s="35"/>
      <c r="M893" s="35"/>
      <c r="N893" s="35"/>
      <c r="O893" s="35"/>
      <c r="P893" s="35"/>
      <c r="Q893" s="35"/>
    </row>
    <row r="894" spans="1:17">
      <c r="A894" s="36" t="s">
        <v>2242</v>
      </c>
      <c r="B894" s="36" t="s">
        <v>4038</v>
      </c>
      <c r="C894" s="37" t="s">
        <v>2808</v>
      </c>
      <c r="D894" s="37" t="s">
        <v>2611</v>
      </c>
      <c r="E894" s="37"/>
      <c r="F894" s="37" t="s">
        <v>2808</v>
      </c>
      <c r="G894" s="37" t="s">
        <v>2611</v>
      </c>
      <c r="H894" s="35"/>
      <c r="J894" s="35"/>
      <c r="K894" s="35"/>
      <c r="L894" s="35"/>
      <c r="M894" s="35"/>
      <c r="N894" s="35"/>
      <c r="O894" s="35"/>
      <c r="P894" s="35"/>
      <c r="Q894" s="35"/>
    </row>
    <row r="895" spans="1:17">
      <c r="A895" s="36" t="s">
        <v>2244</v>
      </c>
      <c r="B895" s="36" t="s">
        <v>4039</v>
      </c>
      <c r="C895" s="37" t="s">
        <v>2808</v>
      </c>
      <c r="D895" s="37" t="s">
        <v>2611</v>
      </c>
      <c r="E895" s="37"/>
      <c r="F895" s="37" t="s">
        <v>2808</v>
      </c>
      <c r="G895" s="37" t="s">
        <v>2611</v>
      </c>
      <c r="H895" s="35"/>
      <c r="J895" s="35"/>
      <c r="K895" s="35"/>
      <c r="L895" s="35"/>
      <c r="M895" s="35"/>
      <c r="N895" s="35"/>
      <c r="O895" s="35"/>
      <c r="P895" s="35"/>
      <c r="Q895" s="35"/>
    </row>
    <row r="896" spans="1:17">
      <c r="A896" s="36" t="s">
        <v>2246</v>
      </c>
      <c r="B896" s="36" t="s">
        <v>4040</v>
      </c>
      <c r="C896" s="37" t="s">
        <v>2808</v>
      </c>
      <c r="D896" s="37" t="s">
        <v>2611</v>
      </c>
      <c r="E896" s="37"/>
      <c r="F896" s="37" t="s">
        <v>2808</v>
      </c>
      <c r="G896" s="37" t="s">
        <v>2611</v>
      </c>
      <c r="H896" s="35"/>
      <c r="J896" s="35"/>
      <c r="K896" s="35"/>
      <c r="L896" s="35"/>
      <c r="M896" s="35"/>
      <c r="N896" s="35"/>
      <c r="O896" s="35"/>
      <c r="P896" s="35"/>
      <c r="Q896" s="35"/>
    </row>
    <row r="897" spans="1:17">
      <c r="A897" s="36" t="s">
        <v>2248</v>
      </c>
      <c r="B897" s="36" t="s">
        <v>4041</v>
      </c>
      <c r="C897" s="37" t="s">
        <v>2808</v>
      </c>
      <c r="D897" s="37" t="s">
        <v>2611</v>
      </c>
      <c r="E897" s="37"/>
      <c r="F897" s="37" t="s">
        <v>2808</v>
      </c>
      <c r="G897" s="37" t="s">
        <v>2611</v>
      </c>
      <c r="H897" s="35"/>
      <c r="J897" s="35"/>
      <c r="K897" s="35"/>
      <c r="L897" s="35"/>
      <c r="M897" s="35"/>
      <c r="N897" s="35"/>
      <c r="O897" s="35"/>
      <c r="P897" s="35"/>
      <c r="Q897" s="35"/>
    </row>
    <row r="898" spans="1:17">
      <c r="A898" s="36" t="s">
        <v>2250</v>
      </c>
      <c r="B898" s="36" t="s">
        <v>4547</v>
      </c>
      <c r="C898" s="37" t="s">
        <v>2808</v>
      </c>
      <c r="D898" s="37" t="s">
        <v>2611</v>
      </c>
      <c r="E898" s="37"/>
      <c r="F898" s="37" t="s">
        <v>2808</v>
      </c>
      <c r="G898" s="37" t="s">
        <v>2611</v>
      </c>
      <c r="H898" s="35"/>
      <c r="J898" s="35"/>
      <c r="K898" s="35"/>
      <c r="L898" s="35"/>
      <c r="M898" s="35"/>
      <c r="N898" s="35"/>
      <c r="O898" s="35"/>
      <c r="P898" s="35"/>
      <c r="Q898" s="35"/>
    </row>
    <row r="899" spans="1:17">
      <c r="A899" s="36" t="s">
        <v>4015</v>
      </c>
      <c r="B899" s="36" t="s">
        <v>4016</v>
      </c>
      <c r="C899" s="37"/>
      <c r="D899" s="37"/>
      <c r="E899" s="37"/>
      <c r="F899" s="37"/>
      <c r="G899" s="37"/>
      <c r="H899" s="35"/>
      <c r="J899" s="35"/>
      <c r="K899" s="35"/>
      <c r="L899" s="35"/>
      <c r="M899" s="35"/>
      <c r="N899" s="35"/>
      <c r="O899" s="35"/>
      <c r="P899" s="35"/>
      <c r="Q899" s="35"/>
    </row>
    <row r="900" spans="1:17">
      <c r="A900" s="36" t="s">
        <v>4042</v>
      </c>
      <c r="B900" s="36" t="s">
        <v>4043</v>
      </c>
      <c r="C900" s="37"/>
      <c r="D900" s="37"/>
      <c r="E900" s="37"/>
      <c r="F900" s="37"/>
      <c r="G900" s="37"/>
      <c r="H900" s="35"/>
      <c r="J900" s="35"/>
      <c r="K900" s="35"/>
      <c r="L900" s="35"/>
      <c r="M900" s="35"/>
      <c r="N900" s="35"/>
      <c r="O900" s="35"/>
      <c r="P900" s="35"/>
      <c r="Q900" s="35"/>
    </row>
    <row r="901" spans="1:17">
      <c r="A901" s="36" t="s">
        <v>2645</v>
      </c>
      <c r="B901" s="36" t="s">
        <v>4044</v>
      </c>
      <c r="C901" s="37"/>
      <c r="D901" s="37"/>
      <c r="E901" s="37"/>
      <c r="F901" s="37"/>
      <c r="G901" s="37"/>
      <c r="H901" s="35"/>
      <c r="J901" s="35"/>
      <c r="K901" s="35"/>
      <c r="L901" s="35"/>
      <c r="M901" s="35"/>
      <c r="N901" s="35"/>
      <c r="O901" s="35"/>
      <c r="P901" s="35"/>
      <c r="Q901" s="35"/>
    </row>
    <row r="902" spans="1:17">
      <c r="A902" s="36" t="s">
        <v>2252</v>
      </c>
      <c r="B902" s="36" t="s">
        <v>4045</v>
      </c>
      <c r="C902" s="37" t="s">
        <v>4046</v>
      </c>
      <c r="D902" s="37" t="s">
        <v>4047</v>
      </c>
      <c r="E902" s="37"/>
      <c r="F902" s="37" t="s">
        <v>4046</v>
      </c>
      <c r="G902" s="37" t="s">
        <v>4047</v>
      </c>
      <c r="H902" s="35"/>
      <c r="J902" s="35"/>
      <c r="K902" s="35"/>
      <c r="L902" s="35"/>
      <c r="M902" s="35"/>
      <c r="N902" s="35"/>
      <c r="O902" s="35"/>
      <c r="P902" s="35"/>
      <c r="Q902" s="35"/>
    </row>
    <row r="903" spans="1:17">
      <c r="A903" s="36" t="s">
        <v>2254</v>
      </c>
      <c r="B903" s="36" t="s">
        <v>4048</v>
      </c>
      <c r="C903" s="37" t="s">
        <v>4049</v>
      </c>
      <c r="D903" s="37" t="s">
        <v>4050</v>
      </c>
      <c r="E903" s="37"/>
      <c r="F903" s="37" t="s">
        <v>4049</v>
      </c>
      <c r="G903" s="37" t="s">
        <v>4050</v>
      </c>
      <c r="H903" s="35"/>
      <c r="J903" s="35"/>
      <c r="K903" s="35"/>
      <c r="L903" s="35"/>
      <c r="M903" s="35"/>
      <c r="N903" s="35"/>
      <c r="O903" s="35"/>
      <c r="P903" s="35"/>
      <c r="Q903" s="35"/>
    </row>
    <row r="904" spans="1:17">
      <c r="A904" s="36" t="s">
        <v>2256</v>
      </c>
      <c r="B904" s="36" t="s">
        <v>4051</v>
      </c>
      <c r="C904" s="37" t="s">
        <v>4052</v>
      </c>
      <c r="D904" s="37" t="s">
        <v>4053</v>
      </c>
      <c r="E904" s="37"/>
      <c r="F904" s="37" t="s">
        <v>4052</v>
      </c>
      <c r="G904" s="37" t="s">
        <v>4053</v>
      </c>
      <c r="H904" s="35"/>
      <c r="J904" s="35"/>
      <c r="K904" s="35"/>
      <c r="L904" s="35"/>
      <c r="M904" s="35"/>
      <c r="N904" s="35"/>
      <c r="O904" s="35"/>
      <c r="P904" s="35"/>
      <c r="Q904" s="35"/>
    </row>
    <row r="905" spans="1:17">
      <c r="A905" s="36" t="s">
        <v>2258</v>
      </c>
      <c r="B905" s="36" t="s">
        <v>4054</v>
      </c>
      <c r="C905" s="37" t="s">
        <v>4055</v>
      </c>
      <c r="D905" s="37" t="s">
        <v>4056</v>
      </c>
      <c r="E905" s="37"/>
      <c r="F905" s="37" t="s">
        <v>4055</v>
      </c>
      <c r="G905" s="37" t="s">
        <v>4056</v>
      </c>
      <c r="H905" s="35"/>
      <c r="J905" s="35"/>
      <c r="K905" s="35"/>
      <c r="L905" s="35"/>
      <c r="M905" s="35"/>
      <c r="N905" s="35"/>
      <c r="O905" s="35"/>
      <c r="P905" s="35"/>
      <c r="Q905" s="35"/>
    </row>
    <row r="906" spans="1:17">
      <c r="A906" s="36" t="s">
        <v>2260</v>
      </c>
      <c r="B906" s="36" t="s">
        <v>4057</v>
      </c>
      <c r="C906" s="37" t="s">
        <v>4046</v>
      </c>
      <c r="D906" s="37" t="s">
        <v>4047</v>
      </c>
      <c r="E906" s="37"/>
      <c r="F906" s="37" t="s">
        <v>4046</v>
      </c>
      <c r="G906" s="37" t="s">
        <v>4047</v>
      </c>
      <c r="H906" s="35"/>
      <c r="J906" s="35"/>
      <c r="K906" s="35"/>
      <c r="L906" s="35"/>
      <c r="M906" s="35"/>
      <c r="N906" s="35"/>
      <c r="O906" s="35"/>
      <c r="P906" s="35"/>
      <c r="Q906" s="35"/>
    </row>
    <row r="907" spans="1:17">
      <c r="A907" s="36" t="s">
        <v>4058</v>
      </c>
      <c r="B907" s="36" t="s">
        <v>4059</v>
      </c>
      <c r="C907" s="37"/>
      <c r="D907" s="37"/>
      <c r="E907" s="37"/>
      <c r="F907" s="37"/>
      <c r="G907" s="37"/>
      <c r="H907" s="35"/>
      <c r="J907" s="35"/>
      <c r="K907" s="35"/>
      <c r="L907" s="35"/>
      <c r="M907" s="35"/>
      <c r="N907" s="35"/>
      <c r="O907" s="35"/>
      <c r="P907" s="35"/>
      <c r="Q907" s="35"/>
    </row>
    <row r="908" spans="1:17">
      <c r="A908" s="36" t="s">
        <v>4060</v>
      </c>
      <c r="B908" s="36" t="s">
        <v>4061</v>
      </c>
      <c r="C908" s="37" t="s">
        <v>4062</v>
      </c>
      <c r="D908" s="37" t="s">
        <v>4063</v>
      </c>
      <c r="E908" s="37"/>
      <c r="F908" s="37" t="s">
        <v>4062</v>
      </c>
      <c r="G908" s="37" t="s">
        <v>4063</v>
      </c>
      <c r="H908" s="35"/>
      <c r="J908" s="35"/>
      <c r="K908" s="35"/>
      <c r="L908" s="35"/>
      <c r="M908" s="35"/>
      <c r="N908" s="35"/>
      <c r="O908" s="35"/>
      <c r="P908" s="35"/>
      <c r="Q908" s="35"/>
    </row>
    <row r="909" spans="1:17">
      <c r="A909" s="36" t="s">
        <v>4064</v>
      </c>
      <c r="B909" s="36" t="s">
        <v>4065</v>
      </c>
      <c r="C909" s="37" t="s">
        <v>4062</v>
      </c>
      <c r="D909" s="37" t="s">
        <v>4063</v>
      </c>
      <c r="E909" s="37"/>
      <c r="F909" s="37" t="s">
        <v>4062</v>
      </c>
      <c r="G909" s="37" t="s">
        <v>4063</v>
      </c>
      <c r="H909" s="35"/>
      <c r="J909" s="35"/>
      <c r="K909" s="35"/>
      <c r="L909" s="35"/>
      <c r="M909" s="35"/>
      <c r="N909" s="35"/>
      <c r="O909" s="35"/>
      <c r="P909" s="35"/>
      <c r="Q909" s="35"/>
    </row>
    <row r="910" spans="1:17">
      <c r="A910" s="36" t="s">
        <v>4066</v>
      </c>
      <c r="B910" s="36" t="s">
        <v>4067</v>
      </c>
      <c r="C910" s="37" t="s">
        <v>3773</v>
      </c>
      <c r="D910" s="37" t="s">
        <v>3774</v>
      </c>
      <c r="E910" s="37"/>
      <c r="F910" s="37" t="s">
        <v>3773</v>
      </c>
      <c r="G910" s="37" t="s">
        <v>3774</v>
      </c>
      <c r="H910" s="35"/>
      <c r="J910" s="35"/>
      <c r="K910" s="35"/>
      <c r="L910" s="35"/>
      <c r="M910" s="35"/>
      <c r="N910" s="35"/>
      <c r="O910" s="35"/>
      <c r="P910" s="35"/>
      <c r="Q910" s="35"/>
    </row>
    <row r="911" spans="1:17">
      <c r="A911" s="36" t="s">
        <v>4068</v>
      </c>
      <c r="B911" s="36" t="s">
        <v>4069</v>
      </c>
      <c r="C911" s="37" t="s">
        <v>4070</v>
      </c>
      <c r="D911" s="37" t="s">
        <v>4071</v>
      </c>
      <c r="E911" s="37"/>
      <c r="F911" s="37" t="s">
        <v>4070</v>
      </c>
      <c r="G911" s="37" t="s">
        <v>4071</v>
      </c>
      <c r="H911" s="35"/>
      <c r="J911" s="35"/>
      <c r="K911" s="35"/>
      <c r="L911" s="35"/>
      <c r="M911" s="35"/>
      <c r="N911" s="35"/>
      <c r="O911" s="35"/>
      <c r="P911" s="35"/>
      <c r="Q911" s="35"/>
    </row>
    <row r="912" spans="1:17">
      <c r="A912" s="36" t="s">
        <v>4072</v>
      </c>
      <c r="B912" s="36" t="s">
        <v>4073</v>
      </c>
      <c r="C912" s="37" t="s">
        <v>4070</v>
      </c>
      <c r="D912" s="37" t="s">
        <v>4071</v>
      </c>
      <c r="E912" s="37"/>
      <c r="F912" s="37" t="s">
        <v>4070</v>
      </c>
      <c r="G912" s="37" t="s">
        <v>4071</v>
      </c>
      <c r="H912" s="35"/>
      <c r="J912" s="35"/>
      <c r="K912" s="35"/>
      <c r="L912" s="35"/>
      <c r="M912" s="35"/>
      <c r="N912" s="35"/>
      <c r="O912" s="35"/>
      <c r="P912" s="35"/>
      <c r="Q912" s="35"/>
    </row>
    <row r="913" spans="1:17">
      <c r="A913" s="36" t="s">
        <v>4074</v>
      </c>
      <c r="B913" s="36" t="s">
        <v>4075</v>
      </c>
      <c r="C913" s="37" t="s">
        <v>4076</v>
      </c>
      <c r="D913" s="37" t="s">
        <v>4077</v>
      </c>
      <c r="E913" s="37"/>
      <c r="F913" s="37" t="s">
        <v>4076</v>
      </c>
      <c r="G913" s="37" t="s">
        <v>4077</v>
      </c>
      <c r="H913" s="35"/>
      <c r="J913" s="35"/>
      <c r="K913" s="35"/>
      <c r="L913" s="35"/>
      <c r="M913" s="35"/>
      <c r="N913" s="35"/>
      <c r="O913" s="35"/>
      <c r="P913" s="35"/>
      <c r="Q913" s="35"/>
    </row>
    <row r="914" spans="1:17">
      <c r="A914" s="36" t="s">
        <v>2262</v>
      </c>
      <c r="B914" s="36" t="s">
        <v>4078</v>
      </c>
      <c r="C914" s="37" t="s">
        <v>4070</v>
      </c>
      <c r="D914" s="37" t="s">
        <v>4071</v>
      </c>
      <c r="E914" s="37"/>
      <c r="F914" s="37" t="s">
        <v>4070</v>
      </c>
      <c r="G914" s="37" t="s">
        <v>4071</v>
      </c>
      <c r="H914" s="35"/>
      <c r="J914" s="35"/>
      <c r="K914" s="35"/>
      <c r="L914" s="35"/>
      <c r="M914" s="35"/>
      <c r="N914" s="35"/>
      <c r="O914" s="35"/>
      <c r="P914" s="35"/>
      <c r="Q914" s="35"/>
    </row>
    <row r="915" spans="1:17">
      <c r="A915" s="36" t="s">
        <v>2264</v>
      </c>
      <c r="B915" s="36" t="s">
        <v>4079</v>
      </c>
      <c r="C915" s="37" t="s">
        <v>4070</v>
      </c>
      <c r="D915" s="37" t="s">
        <v>4071</v>
      </c>
      <c r="E915" s="37"/>
      <c r="F915" s="37" t="s">
        <v>4070</v>
      </c>
      <c r="G915" s="37" t="s">
        <v>4071</v>
      </c>
      <c r="H915" s="35"/>
      <c r="J915" s="35"/>
      <c r="K915" s="35"/>
      <c r="L915" s="35"/>
      <c r="M915" s="35"/>
      <c r="N915" s="35"/>
      <c r="O915" s="35"/>
      <c r="P915" s="35"/>
      <c r="Q915" s="35"/>
    </row>
    <row r="916" spans="1:17">
      <c r="A916" s="36" t="s">
        <v>2266</v>
      </c>
      <c r="B916" s="36" t="s">
        <v>4080</v>
      </c>
      <c r="C916" s="37" t="s">
        <v>4081</v>
      </c>
      <c r="D916" s="37" t="s">
        <v>4082</v>
      </c>
      <c r="E916" s="37"/>
      <c r="F916" s="37" t="s">
        <v>4081</v>
      </c>
      <c r="G916" s="37" t="s">
        <v>4082</v>
      </c>
      <c r="H916" s="35"/>
      <c r="J916" s="35"/>
      <c r="K916" s="35"/>
      <c r="L916" s="35"/>
      <c r="M916" s="35"/>
      <c r="N916" s="35"/>
      <c r="O916" s="35"/>
      <c r="P916" s="35"/>
      <c r="Q916" s="35"/>
    </row>
    <row r="917" spans="1:17">
      <c r="A917" s="36" t="s">
        <v>2268</v>
      </c>
      <c r="B917" s="36" t="s">
        <v>4083</v>
      </c>
      <c r="C917" s="37" t="s">
        <v>4084</v>
      </c>
      <c r="D917" s="37" t="s">
        <v>4085</v>
      </c>
      <c r="E917" s="37"/>
      <c r="F917" s="37" t="s">
        <v>4084</v>
      </c>
      <c r="G917" s="37" t="s">
        <v>4085</v>
      </c>
      <c r="H917" s="35"/>
      <c r="J917" s="35"/>
      <c r="K917" s="35"/>
      <c r="L917" s="35"/>
      <c r="M917" s="35"/>
      <c r="N917" s="35"/>
      <c r="O917" s="35"/>
      <c r="P917" s="35"/>
      <c r="Q917" s="35"/>
    </row>
    <row r="918" spans="1:17">
      <c r="A918" s="36" t="s">
        <v>2270</v>
      </c>
      <c r="B918" s="36" t="s">
        <v>4086</v>
      </c>
      <c r="C918" s="37" t="s">
        <v>4087</v>
      </c>
      <c r="D918" s="37" t="s">
        <v>4088</v>
      </c>
      <c r="E918" s="37"/>
      <c r="F918" s="37" t="s">
        <v>4087</v>
      </c>
      <c r="G918" s="37" t="s">
        <v>4088</v>
      </c>
      <c r="H918" s="35"/>
      <c r="J918" s="35"/>
      <c r="K918" s="35"/>
      <c r="L918" s="35"/>
      <c r="M918" s="35"/>
      <c r="N918" s="35"/>
      <c r="O918" s="35"/>
      <c r="P918" s="35"/>
      <c r="Q918" s="35"/>
    </row>
    <row r="919" spans="1:17">
      <c r="A919" s="36" t="s">
        <v>2272</v>
      </c>
      <c r="B919" s="36" t="s">
        <v>4089</v>
      </c>
      <c r="C919" s="37" t="s">
        <v>3826</v>
      </c>
      <c r="D919" s="37" t="s">
        <v>3827</v>
      </c>
      <c r="E919" s="37"/>
      <c r="F919" s="37" t="s">
        <v>3826</v>
      </c>
      <c r="G919" s="37" t="s">
        <v>3827</v>
      </c>
      <c r="H919" s="35"/>
      <c r="J919" s="35"/>
      <c r="K919" s="35"/>
      <c r="L919" s="35"/>
      <c r="M919" s="35"/>
      <c r="N919" s="35"/>
      <c r="O919" s="35"/>
      <c r="P919" s="35"/>
      <c r="Q919" s="35"/>
    </row>
    <row r="920" spans="1:17">
      <c r="A920" s="36" t="s">
        <v>2274</v>
      </c>
      <c r="B920" s="36" t="s">
        <v>4090</v>
      </c>
      <c r="C920" s="37" t="s">
        <v>4091</v>
      </c>
      <c r="D920" s="37" t="s">
        <v>4092</v>
      </c>
      <c r="E920" s="37"/>
      <c r="F920" s="37" t="s">
        <v>4091</v>
      </c>
      <c r="G920" s="37" t="s">
        <v>4092</v>
      </c>
      <c r="H920" s="35"/>
      <c r="J920" s="35"/>
      <c r="K920" s="35"/>
      <c r="L920" s="35"/>
      <c r="M920" s="35"/>
      <c r="N920" s="35"/>
      <c r="O920" s="35"/>
      <c r="P920" s="35"/>
      <c r="Q920" s="35"/>
    </row>
    <row r="921" spans="1:17">
      <c r="A921" s="36" t="s">
        <v>2276</v>
      </c>
      <c r="B921" s="36" t="s">
        <v>4093</v>
      </c>
      <c r="C921" s="37" t="s">
        <v>4094</v>
      </c>
      <c r="D921" s="37" t="s">
        <v>4095</v>
      </c>
      <c r="E921" s="37"/>
      <c r="F921" s="37" t="s">
        <v>4094</v>
      </c>
      <c r="G921" s="37" t="s">
        <v>4095</v>
      </c>
      <c r="H921" s="35"/>
      <c r="J921" s="35"/>
      <c r="K921" s="35"/>
      <c r="L921" s="35"/>
      <c r="M921" s="35"/>
      <c r="N921" s="35"/>
      <c r="O921" s="35"/>
      <c r="P921" s="35"/>
      <c r="Q921" s="35"/>
    </row>
    <row r="922" spans="1:17">
      <c r="A922" s="36" t="s">
        <v>2278</v>
      </c>
      <c r="B922" s="36" t="s">
        <v>4096</v>
      </c>
      <c r="C922" s="37" t="s">
        <v>2612</v>
      </c>
      <c r="D922" s="37" t="s">
        <v>2611</v>
      </c>
      <c r="E922" s="37"/>
      <c r="F922" s="37" t="s">
        <v>4787</v>
      </c>
      <c r="G922" s="37" t="s">
        <v>4786</v>
      </c>
      <c r="H922" s="35"/>
      <c r="J922" s="35"/>
      <c r="K922" s="35"/>
      <c r="L922" s="35"/>
      <c r="M922" s="35"/>
      <c r="N922" s="35"/>
      <c r="O922" s="35"/>
      <c r="P922" s="35"/>
      <c r="Q922" s="35"/>
    </row>
    <row r="923" spans="1:17">
      <c r="A923" s="36" t="s">
        <v>4097</v>
      </c>
      <c r="B923" s="36" t="s">
        <v>4098</v>
      </c>
      <c r="C923" s="37"/>
      <c r="D923" s="37"/>
      <c r="E923" s="37"/>
      <c r="F923" s="37"/>
      <c r="G923" s="37"/>
      <c r="H923" s="35"/>
      <c r="J923" s="35"/>
      <c r="K923" s="35"/>
      <c r="L923" s="35"/>
      <c r="M923" s="35"/>
      <c r="N923" s="35"/>
      <c r="O923" s="35"/>
      <c r="P923" s="35"/>
      <c r="Q923" s="35"/>
    </row>
    <row r="924" spans="1:17">
      <c r="A924" s="36" t="s">
        <v>2280</v>
      </c>
      <c r="B924" s="36" t="s">
        <v>4099</v>
      </c>
      <c r="C924" s="37" t="s">
        <v>4100</v>
      </c>
      <c r="D924" s="37" t="s">
        <v>4101</v>
      </c>
      <c r="E924" s="37"/>
      <c r="F924" s="37" t="s">
        <v>4100</v>
      </c>
      <c r="G924" s="37" t="s">
        <v>4101</v>
      </c>
      <c r="H924" s="35"/>
      <c r="J924" s="35"/>
      <c r="K924" s="35"/>
      <c r="L924" s="35"/>
      <c r="M924" s="35"/>
      <c r="N924" s="35"/>
      <c r="O924" s="35"/>
      <c r="P924" s="35"/>
      <c r="Q924" s="35"/>
    </row>
    <row r="925" spans="1:17">
      <c r="A925" s="36" t="s">
        <v>2282</v>
      </c>
      <c r="B925" s="36" t="s">
        <v>4102</v>
      </c>
      <c r="C925" s="37" t="s">
        <v>4100</v>
      </c>
      <c r="D925" s="37" t="s">
        <v>4101</v>
      </c>
      <c r="E925" s="37"/>
      <c r="F925" s="37" t="s">
        <v>4100</v>
      </c>
      <c r="G925" s="37" t="s">
        <v>4101</v>
      </c>
      <c r="H925" s="35"/>
      <c r="J925" s="35"/>
      <c r="K925" s="35"/>
      <c r="L925" s="35"/>
      <c r="M925" s="35"/>
      <c r="N925" s="35"/>
      <c r="O925" s="35"/>
      <c r="P925" s="35"/>
      <c r="Q925" s="35"/>
    </row>
    <row r="926" spans="1:17">
      <c r="A926" s="36" t="s">
        <v>2284</v>
      </c>
      <c r="B926" s="36" t="s">
        <v>4103</v>
      </c>
      <c r="C926" s="37" t="s">
        <v>4100</v>
      </c>
      <c r="D926" s="37" t="s">
        <v>4101</v>
      </c>
      <c r="E926" s="37"/>
      <c r="F926" s="37" t="s">
        <v>4100</v>
      </c>
      <c r="G926" s="37" t="s">
        <v>4101</v>
      </c>
      <c r="H926" s="35"/>
      <c r="J926" s="35"/>
      <c r="K926" s="35"/>
      <c r="L926" s="35"/>
      <c r="M926" s="35"/>
      <c r="N926" s="35"/>
      <c r="O926" s="35"/>
      <c r="P926" s="35"/>
      <c r="Q926" s="35"/>
    </row>
    <row r="927" spans="1:17">
      <c r="A927" s="36" t="s">
        <v>2286</v>
      </c>
      <c r="B927" s="36" t="s">
        <v>4104</v>
      </c>
      <c r="C927" s="37" t="s">
        <v>4100</v>
      </c>
      <c r="D927" s="37" t="s">
        <v>4101</v>
      </c>
      <c r="E927" s="37"/>
      <c r="F927" s="37" t="s">
        <v>4100</v>
      </c>
      <c r="G927" s="37" t="s">
        <v>4101</v>
      </c>
      <c r="H927" s="35"/>
      <c r="J927" s="35"/>
      <c r="K927" s="35"/>
      <c r="L927" s="35"/>
      <c r="M927" s="35"/>
      <c r="N927" s="35"/>
      <c r="O927" s="35"/>
      <c r="P927" s="35"/>
      <c r="Q927" s="35"/>
    </row>
    <row r="928" spans="1:17">
      <c r="A928" s="36" t="s">
        <v>2288</v>
      </c>
      <c r="B928" s="36" t="s">
        <v>4105</v>
      </c>
      <c r="C928" s="37" t="s">
        <v>2612</v>
      </c>
      <c r="D928" s="37" t="s">
        <v>2611</v>
      </c>
      <c r="E928" s="37"/>
      <c r="F928" s="37" t="s">
        <v>4787</v>
      </c>
      <c r="G928" s="37" t="s">
        <v>4786</v>
      </c>
      <c r="H928" s="35"/>
      <c r="J928" s="35"/>
      <c r="K928" s="35"/>
      <c r="L928" s="35"/>
      <c r="M928" s="35"/>
      <c r="N928" s="35"/>
      <c r="O928" s="35"/>
      <c r="P928" s="35"/>
      <c r="Q928" s="35"/>
    </row>
    <row r="929" spans="1:17">
      <c r="A929" s="36" t="s">
        <v>2290</v>
      </c>
      <c r="B929" s="36" t="s">
        <v>4106</v>
      </c>
      <c r="C929" s="37" t="s">
        <v>2612</v>
      </c>
      <c r="D929" s="37" t="s">
        <v>2611</v>
      </c>
      <c r="E929" s="37"/>
      <c r="F929" s="37" t="s">
        <v>4787</v>
      </c>
      <c r="G929" s="37" t="s">
        <v>4786</v>
      </c>
      <c r="H929" s="35"/>
      <c r="J929" s="35"/>
      <c r="K929" s="35"/>
      <c r="L929" s="35"/>
      <c r="M929" s="35"/>
      <c r="N929" s="35"/>
      <c r="O929" s="35"/>
      <c r="P929" s="35"/>
      <c r="Q929" s="35"/>
    </row>
    <row r="930" spans="1:17">
      <c r="A930" s="36" t="s">
        <v>2292</v>
      </c>
      <c r="B930" s="36" t="s">
        <v>4107</v>
      </c>
      <c r="C930" s="37" t="s">
        <v>4100</v>
      </c>
      <c r="D930" s="37" t="s">
        <v>4101</v>
      </c>
      <c r="E930" s="37"/>
      <c r="F930" s="37" t="s">
        <v>4100</v>
      </c>
      <c r="G930" s="37" t="s">
        <v>4101</v>
      </c>
      <c r="H930" s="35"/>
      <c r="J930" s="35"/>
      <c r="K930" s="35"/>
      <c r="L930" s="35"/>
      <c r="M930" s="35"/>
      <c r="N930" s="35"/>
      <c r="O930" s="35"/>
      <c r="P930" s="35"/>
      <c r="Q930" s="35"/>
    </row>
    <row r="931" spans="1:17">
      <c r="A931" s="36" t="s">
        <v>2294</v>
      </c>
      <c r="B931" s="36" t="s">
        <v>4108</v>
      </c>
      <c r="C931" s="37" t="s">
        <v>4109</v>
      </c>
      <c r="D931" s="37" t="s">
        <v>4110</v>
      </c>
      <c r="E931" s="37"/>
      <c r="F931" s="37" t="s">
        <v>4109</v>
      </c>
      <c r="G931" s="37" t="s">
        <v>4110</v>
      </c>
      <c r="H931" s="35"/>
      <c r="J931" s="35"/>
      <c r="K931" s="35"/>
      <c r="L931" s="35"/>
      <c r="M931" s="35"/>
      <c r="N931" s="35"/>
      <c r="O931" s="35"/>
      <c r="P931" s="35"/>
      <c r="Q931" s="35"/>
    </row>
    <row r="932" spans="1:17">
      <c r="A932" s="36" t="s">
        <v>2296</v>
      </c>
      <c r="B932" s="36" t="s">
        <v>4111</v>
      </c>
      <c r="C932" s="37" t="s">
        <v>4081</v>
      </c>
      <c r="D932" s="37" t="s">
        <v>4082</v>
      </c>
      <c r="E932" s="37"/>
      <c r="F932" s="37" t="s">
        <v>4081</v>
      </c>
      <c r="G932" s="37" t="s">
        <v>4082</v>
      </c>
      <c r="H932" s="35"/>
      <c r="J932" s="35"/>
      <c r="K932" s="35"/>
      <c r="L932" s="35"/>
      <c r="M932" s="35"/>
      <c r="N932" s="35"/>
      <c r="O932" s="35"/>
      <c r="P932" s="35"/>
      <c r="Q932" s="35"/>
    </row>
    <row r="933" spans="1:17">
      <c r="A933" s="36" t="s">
        <v>2298</v>
      </c>
      <c r="B933" s="36" t="s">
        <v>4112</v>
      </c>
      <c r="C933" s="37" t="s">
        <v>4100</v>
      </c>
      <c r="D933" s="37" t="s">
        <v>4101</v>
      </c>
      <c r="E933" s="37"/>
      <c r="F933" s="37" t="s">
        <v>4100</v>
      </c>
      <c r="G933" s="37" t="s">
        <v>4101</v>
      </c>
      <c r="H933" s="35"/>
      <c r="J933" s="35"/>
      <c r="K933" s="35"/>
      <c r="L933" s="35"/>
      <c r="M933" s="35"/>
      <c r="N933" s="35"/>
      <c r="O933" s="35"/>
      <c r="P933" s="35"/>
      <c r="Q933" s="35"/>
    </row>
    <row r="934" spans="1:17">
      <c r="A934" s="36" t="s">
        <v>2300</v>
      </c>
      <c r="B934" s="36" t="s">
        <v>4113</v>
      </c>
      <c r="C934" s="37" t="s">
        <v>4114</v>
      </c>
      <c r="D934" s="37" t="s">
        <v>4115</v>
      </c>
      <c r="E934" s="37"/>
      <c r="F934" s="37" t="s">
        <v>4114</v>
      </c>
      <c r="G934" s="37" t="s">
        <v>4115</v>
      </c>
      <c r="H934" s="35"/>
      <c r="J934" s="35"/>
      <c r="K934" s="35"/>
      <c r="L934" s="35"/>
      <c r="M934" s="35"/>
      <c r="N934" s="35"/>
      <c r="O934" s="35"/>
      <c r="P934" s="35"/>
      <c r="Q934" s="35"/>
    </row>
    <row r="935" spans="1:17">
      <c r="A935" s="36" t="s">
        <v>2302</v>
      </c>
      <c r="B935" s="36" t="s">
        <v>4116</v>
      </c>
      <c r="C935" s="37" t="s">
        <v>4117</v>
      </c>
      <c r="D935" s="37" t="s">
        <v>4118</v>
      </c>
      <c r="E935" s="37"/>
      <c r="F935" s="37" t="s">
        <v>4117</v>
      </c>
      <c r="G935" s="37" t="s">
        <v>4118</v>
      </c>
      <c r="H935" s="35"/>
      <c r="J935" s="35"/>
      <c r="K935" s="35"/>
      <c r="L935" s="35"/>
      <c r="M935" s="35"/>
      <c r="N935" s="35"/>
      <c r="O935" s="35"/>
      <c r="P935" s="35"/>
      <c r="Q935" s="35"/>
    </row>
    <row r="936" spans="1:17">
      <c r="A936" s="36" t="s">
        <v>2304</v>
      </c>
      <c r="B936" s="36" t="s">
        <v>4119</v>
      </c>
      <c r="C936" s="37" t="s">
        <v>2076</v>
      </c>
      <c r="D936" s="37" t="s">
        <v>4120</v>
      </c>
      <c r="E936" s="37"/>
      <c r="F936" s="37" t="s">
        <v>2076</v>
      </c>
      <c r="G936" s="37" t="s">
        <v>4120</v>
      </c>
      <c r="H936" s="35"/>
      <c r="J936" s="35"/>
      <c r="K936" s="35"/>
      <c r="L936" s="35"/>
      <c r="M936" s="35"/>
      <c r="N936" s="35"/>
      <c r="O936" s="35"/>
      <c r="P936" s="35"/>
      <c r="Q936" s="35"/>
    </row>
    <row r="937" spans="1:17">
      <c r="A937" s="36" t="s">
        <v>2306</v>
      </c>
      <c r="B937" s="36" t="s">
        <v>4121</v>
      </c>
      <c r="C937" s="37" t="s">
        <v>2612</v>
      </c>
      <c r="D937" s="37" t="s">
        <v>2611</v>
      </c>
      <c r="E937" s="37"/>
      <c r="F937" s="37" t="s">
        <v>4787</v>
      </c>
      <c r="G937" s="37" t="s">
        <v>4786</v>
      </c>
      <c r="H937" s="35"/>
      <c r="J937" s="35"/>
      <c r="K937" s="35"/>
      <c r="L937" s="35"/>
      <c r="M937" s="35"/>
      <c r="N937" s="35"/>
      <c r="O937" s="35"/>
      <c r="P937" s="35"/>
      <c r="Q937" s="35"/>
    </row>
    <row r="938" spans="1:17">
      <c r="A938" s="36" t="s">
        <v>2308</v>
      </c>
      <c r="B938" s="36" t="s">
        <v>4122</v>
      </c>
      <c r="C938" s="37" t="s">
        <v>2612</v>
      </c>
      <c r="D938" s="37" t="s">
        <v>2611</v>
      </c>
      <c r="E938" s="37"/>
      <c r="F938" s="37" t="s">
        <v>4787</v>
      </c>
      <c r="G938" s="37" t="s">
        <v>4786</v>
      </c>
      <c r="H938" s="35"/>
      <c r="J938" s="35"/>
      <c r="K938" s="35"/>
      <c r="L938" s="35"/>
      <c r="M938" s="35"/>
      <c r="N938" s="35"/>
      <c r="O938" s="35"/>
      <c r="P938" s="35"/>
      <c r="Q938" s="35"/>
    </row>
    <row r="939" spans="1:17">
      <c r="A939" s="36" t="s">
        <v>2310</v>
      </c>
      <c r="B939" s="36" t="s">
        <v>4123</v>
      </c>
      <c r="C939" s="37" t="s">
        <v>2612</v>
      </c>
      <c r="D939" s="37" t="s">
        <v>2611</v>
      </c>
      <c r="E939" s="37"/>
      <c r="F939" s="37" t="s">
        <v>4787</v>
      </c>
      <c r="G939" s="37" t="s">
        <v>4786</v>
      </c>
      <c r="H939" s="35"/>
      <c r="J939" s="35"/>
      <c r="K939" s="35"/>
      <c r="L939" s="35"/>
      <c r="M939" s="35"/>
      <c r="N939" s="35"/>
      <c r="O939" s="35"/>
      <c r="P939" s="35"/>
      <c r="Q939" s="35"/>
    </row>
    <row r="940" spans="1:17">
      <c r="A940" s="36" t="s">
        <v>2312</v>
      </c>
      <c r="B940" s="36" t="s">
        <v>4124</v>
      </c>
      <c r="C940" s="37" t="s">
        <v>4125</v>
      </c>
      <c r="D940" s="37" t="s">
        <v>4126</v>
      </c>
      <c r="E940" s="37"/>
      <c r="F940" s="37" t="s">
        <v>4125</v>
      </c>
      <c r="G940" s="37" t="s">
        <v>4126</v>
      </c>
      <c r="H940" s="35"/>
      <c r="J940" s="35"/>
      <c r="K940" s="35"/>
      <c r="L940" s="35"/>
      <c r="M940" s="35"/>
      <c r="N940" s="35"/>
      <c r="O940" s="35"/>
      <c r="P940" s="35"/>
      <c r="Q940" s="35"/>
    </row>
    <row r="941" spans="1:17">
      <c r="A941" s="36" t="s">
        <v>2314</v>
      </c>
      <c r="B941" s="36" t="s">
        <v>4127</v>
      </c>
      <c r="C941" s="37" t="s">
        <v>4125</v>
      </c>
      <c r="D941" s="37" t="s">
        <v>4126</v>
      </c>
      <c r="E941" s="37"/>
      <c r="F941" s="37" t="s">
        <v>4125</v>
      </c>
      <c r="G941" s="37" t="s">
        <v>4126</v>
      </c>
      <c r="H941" s="35"/>
      <c r="J941" s="35"/>
      <c r="K941" s="35"/>
      <c r="L941" s="35"/>
      <c r="M941" s="35"/>
      <c r="N941" s="35"/>
      <c r="O941" s="35"/>
      <c r="P941" s="35"/>
      <c r="Q941" s="35"/>
    </row>
    <row r="942" spans="1:17">
      <c r="A942" s="36" t="s">
        <v>2316</v>
      </c>
      <c r="B942" s="36" t="s">
        <v>4128</v>
      </c>
      <c r="C942" s="37" t="s">
        <v>4129</v>
      </c>
      <c r="D942" s="37" t="s">
        <v>4130</v>
      </c>
      <c r="E942" s="37"/>
      <c r="F942" s="37" t="s">
        <v>4129</v>
      </c>
      <c r="G942" s="37" t="s">
        <v>4130</v>
      </c>
      <c r="H942" s="35"/>
      <c r="J942" s="35"/>
      <c r="K942" s="35"/>
      <c r="L942" s="35"/>
      <c r="M942" s="35"/>
      <c r="N942" s="35"/>
      <c r="O942" s="35"/>
      <c r="P942" s="35"/>
      <c r="Q942" s="35"/>
    </row>
    <row r="943" spans="1:17">
      <c r="A943" s="36" t="s">
        <v>2318</v>
      </c>
      <c r="B943" s="36" t="s">
        <v>4131</v>
      </c>
      <c r="C943" s="37" t="s">
        <v>4132</v>
      </c>
      <c r="D943" s="37" t="s">
        <v>4133</v>
      </c>
      <c r="E943" s="37"/>
      <c r="F943" s="37" t="s">
        <v>4132</v>
      </c>
      <c r="G943" s="37" t="s">
        <v>4133</v>
      </c>
      <c r="H943" s="35"/>
      <c r="J943" s="35"/>
      <c r="K943" s="35"/>
      <c r="L943" s="35"/>
      <c r="M943" s="35"/>
      <c r="N943" s="35"/>
      <c r="O943" s="35"/>
      <c r="P943" s="35"/>
      <c r="Q943" s="35"/>
    </row>
    <row r="944" spans="1:17">
      <c r="A944" s="36" t="s">
        <v>2320</v>
      </c>
      <c r="B944" s="36" t="s">
        <v>4134</v>
      </c>
      <c r="C944" s="37" t="s">
        <v>4132</v>
      </c>
      <c r="D944" s="37" t="s">
        <v>4133</v>
      </c>
      <c r="E944" s="37"/>
      <c r="F944" s="37" t="s">
        <v>4132</v>
      </c>
      <c r="G944" s="37" t="s">
        <v>4133</v>
      </c>
      <c r="H944" s="35"/>
      <c r="J944" s="35"/>
      <c r="K944" s="35"/>
      <c r="L944" s="35"/>
      <c r="M944" s="35"/>
      <c r="N944" s="35"/>
      <c r="O944" s="35"/>
      <c r="P944" s="35"/>
      <c r="Q944" s="35"/>
    </row>
    <row r="945" spans="1:17">
      <c r="A945" s="36" t="s">
        <v>2322</v>
      </c>
      <c r="B945" s="36" t="s">
        <v>4135</v>
      </c>
      <c r="C945" s="37" t="s">
        <v>4136</v>
      </c>
      <c r="D945" s="37" t="s">
        <v>4137</v>
      </c>
      <c r="E945" s="37"/>
      <c r="F945" s="37" t="s">
        <v>4136</v>
      </c>
      <c r="G945" s="37" t="s">
        <v>4137</v>
      </c>
      <c r="H945" s="35"/>
      <c r="J945" s="35"/>
      <c r="K945" s="35"/>
      <c r="L945" s="35"/>
      <c r="M945" s="35"/>
      <c r="N945" s="35"/>
      <c r="O945" s="35"/>
      <c r="P945" s="35"/>
      <c r="Q945" s="35"/>
    </row>
    <row r="946" spans="1:17">
      <c r="A946" s="36" t="s">
        <v>2324</v>
      </c>
      <c r="B946" s="36" t="s">
        <v>4138</v>
      </c>
      <c r="C946" s="37" t="s">
        <v>4136</v>
      </c>
      <c r="D946" s="37" t="s">
        <v>4137</v>
      </c>
      <c r="E946" s="37"/>
      <c r="F946" s="37" t="s">
        <v>4136</v>
      </c>
      <c r="G946" s="37" t="s">
        <v>4137</v>
      </c>
      <c r="H946" s="35"/>
      <c r="J946" s="35"/>
      <c r="K946" s="35"/>
      <c r="L946" s="35"/>
      <c r="M946" s="35"/>
      <c r="N946" s="35"/>
      <c r="O946" s="35"/>
      <c r="P946" s="35"/>
      <c r="Q946" s="35"/>
    </row>
    <row r="947" spans="1:17">
      <c r="A947" s="36" t="s">
        <v>2326</v>
      </c>
      <c r="B947" s="36" t="s">
        <v>4139</v>
      </c>
      <c r="C947" s="37" t="s">
        <v>3493</v>
      </c>
      <c r="D947" s="37" t="s">
        <v>3494</v>
      </c>
      <c r="E947" s="37"/>
      <c r="F947" s="37" t="s">
        <v>3493</v>
      </c>
      <c r="G947" s="37" t="s">
        <v>3494</v>
      </c>
      <c r="H947" s="35"/>
      <c r="J947" s="35"/>
      <c r="K947" s="35"/>
      <c r="L947" s="35"/>
      <c r="M947" s="35"/>
      <c r="N947" s="35"/>
      <c r="O947" s="35"/>
      <c r="P947" s="35"/>
      <c r="Q947" s="35"/>
    </row>
    <row r="948" spans="1:17">
      <c r="A948" s="36" t="s">
        <v>2328</v>
      </c>
      <c r="B948" s="36" t="s">
        <v>4140</v>
      </c>
      <c r="C948" s="37" t="s">
        <v>2612</v>
      </c>
      <c r="D948" s="37" t="s">
        <v>2611</v>
      </c>
      <c r="E948" s="37"/>
      <c r="F948" s="37" t="s">
        <v>4787</v>
      </c>
      <c r="G948" s="37" t="s">
        <v>4786</v>
      </c>
      <c r="H948" s="35"/>
      <c r="J948" s="35"/>
      <c r="K948" s="35"/>
      <c r="L948" s="35"/>
      <c r="M948" s="35"/>
      <c r="N948" s="35"/>
      <c r="O948" s="35"/>
      <c r="P948" s="35"/>
      <c r="Q948" s="35"/>
    </row>
    <row r="949" spans="1:17">
      <c r="A949" s="36" t="s">
        <v>2330</v>
      </c>
      <c r="B949" s="36" t="s">
        <v>4141</v>
      </c>
      <c r="C949" s="37" t="s">
        <v>3493</v>
      </c>
      <c r="D949" s="37" t="s">
        <v>3494</v>
      </c>
      <c r="E949" s="37"/>
      <c r="F949" s="37" t="s">
        <v>3493</v>
      </c>
      <c r="G949" s="37" t="s">
        <v>3494</v>
      </c>
      <c r="H949" s="35"/>
      <c r="J949" s="35"/>
      <c r="K949" s="35"/>
      <c r="L949" s="35"/>
      <c r="M949" s="35"/>
      <c r="N949" s="35"/>
      <c r="O949" s="35"/>
      <c r="P949" s="35"/>
      <c r="Q949" s="35"/>
    </row>
    <row r="950" spans="1:17">
      <c r="A950" s="36" t="s">
        <v>2332</v>
      </c>
      <c r="B950" s="36" t="s">
        <v>4142</v>
      </c>
      <c r="C950" s="37" t="s">
        <v>3493</v>
      </c>
      <c r="D950" s="37" t="s">
        <v>3494</v>
      </c>
      <c r="E950" s="37"/>
      <c r="F950" s="37" t="s">
        <v>3493</v>
      </c>
      <c r="G950" s="37" t="s">
        <v>3494</v>
      </c>
      <c r="H950" s="35"/>
      <c r="J950" s="35"/>
      <c r="K950" s="35"/>
      <c r="L950" s="35"/>
      <c r="M950" s="35"/>
      <c r="N950" s="35"/>
      <c r="O950" s="35"/>
      <c r="P950" s="35"/>
      <c r="Q950" s="35"/>
    </row>
    <row r="951" spans="1:17">
      <c r="A951" s="36" t="s">
        <v>2334</v>
      </c>
      <c r="B951" s="36" t="s">
        <v>4143</v>
      </c>
      <c r="C951" s="37" t="s">
        <v>4144</v>
      </c>
      <c r="D951" s="37" t="s">
        <v>4145</v>
      </c>
      <c r="E951" s="37"/>
      <c r="F951" s="37" t="s">
        <v>4144</v>
      </c>
      <c r="G951" s="37" t="s">
        <v>4145</v>
      </c>
      <c r="H951" s="35"/>
      <c r="J951" s="35"/>
      <c r="K951" s="35"/>
      <c r="L951" s="35"/>
      <c r="M951" s="35"/>
      <c r="N951" s="35"/>
      <c r="O951" s="35"/>
      <c r="P951" s="35"/>
      <c r="Q951" s="35"/>
    </row>
    <row r="952" spans="1:17">
      <c r="A952" s="36" t="s">
        <v>2336</v>
      </c>
      <c r="B952" s="36" t="s">
        <v>4146</v>
      </c>
      <c r="C952" s="37" t="s">
        <v>2884</v>
      </c>
      <c r="D952" s="37" t="s">
        <v>2885</v>
      </c>
      <c r="E952" s="37"/>
      <c r="F952" s="37" t="s">
        <v>2884</v>
      </c>
      <c r="G952" s="37" t="s">
        <v>2885</v>
      </c>
      <c r="H952" s="35"/>
      <c r="J952" s="35"/>
      <c r="K952" s="35"/>
      <c r="L952" s="35"/>
      <c r="M952" s="35"/>
      <c r="N952" s="35"/>
      <c r="O952" s="35"/>
      <c r="P952" s="35"/>
      <c r="Q952" s="35"/>
    </row>
    <row r="953" spans="1:17">
      <c r="A953" s="36" t="s">
        <v>2338</v>
      </c>
      <c r="B953" s="36" t="s">
        <v>4147</v>
      </c>
      <c r="C953" s="37" t="s">
        <v>2612</v>
      </c>
      <c r="D953" s="37" t="s">
        <v>2611</v>
      </c>
      <c r="E953" s="37"/>
      <c r="F953" s="37" t="s">
        <v>4787</v>
      </c>
      <c r="G953" s="37" t="s">
        <v>4786</v>
      </c>
      <c r="H953" s="35"/>
      <c r="J953" s="35"/>
      <c r="K953" s="35"/>
      <c r="L953" s="35"/>
      <c r="M953" s="35"/>
      <c r="N953" s="35"/>
      <c r="O953" s="35"/>
      <c r="P953" s="35"/>
      <c r="Q953" s="35"/>
    </row>
    <row r="954" spans="1:17">
      <c r="A954" s="36" t="s">
        <v>2340</v>
      </c>
      <c r="B954" s="36" t="s">
        <v>4148</v>
      </c>
      <c r="C954" s="37" t="s">
        <v>3595</v>
      </c>
      <c r="D954" s="37" t="s">
        <v>3596</v>
      </c>
      <c r="E954" s="37"/>
      <c r="F954" s="37" t="s">
        <v>3595</v>
      </c>
      <c r="G954" s="37" t="s">
        <v>3596</v>
      </c>
      <c r="H954" s="35"/>
      <c r="J954" s="35"/>
      <c r="K954" s="35"/>
      <c r="L954" s="35"/>
      <c r="M954" s="35"/>
      <c r="N954" s="35"/>
      <c r="O954" s="35"/>
      <c r="P954" s="35"/>
      <c r="Q954" s="35"/>
    </row>
    <row r="955" spans="1:17">
      <c r="A955" s="36" t="s">
        <v>2342</v>
      </c>
      <c r="B955" s="36" t="s">
        <v>4149</v>
      </c>
      <c r="C955" s="37" t="s">
        <v>2612</v>
      </c>
      <c r="D955" s="37" t="s">
        <v>2611</v>
      </c>
      <c r="E955" s="37"/>
      <c r="F955" s="37" t="s">
        <v>4787</v>
      </c>
      <c r="G955" s="37" t="s">
        <v>4786</v>
      </c>
      <c r="H955" s="35"/>
      <c r="J955" s="35"/>
      <c r="K955" s="35"/>
      <c r="L955" s="35"/>
      <c r="M955" s="35"/>
      <c r="N955" s="35"/>
      <c r="O955" s="35"/>
      <c r="P955" s="35"/>
      <c r="Q955" s="35"/>
    </row>
    <row r="956" spans="1:17">
      <c r="A956" s="36" t="s">
        <v>4150</v>
      </c>
      <c r="B956" s="36" t="s">
        <v>4151</v>
      </c>
      <c r="C956" s="37"/>
      <c r="D956" s="37"/>
      <c r="E956" s="37"/>
      <c r="F956" s="37"/>
      <c r="G956" s="37"/>
      <c r="H956" s="35"/>
      <c r="J956" s="35"/>
      <c r="K956" s="35"/>
      <c r="L956" s="35"/>
      <c r="M956" s="35"/>
      <c r="N956" s="35"/>
      <c r="O956" s="35"/>
      <c r="P956" s="35"/>
      <c r="Q956" s="35"/>
    </row>
    <row r="957" spans="1:17">
      <c r="A957" s="36" t="s">
        <v>2344</v>
      </c>
      <c r="B957" s="36" t="s">
        <v>4152</v>
      </c>
      <c r="C957" s="37" t="s">
        <v>4153</v>
      </c>
      <c r="D957" s="37" t="s">
        <v>4154</v>
      </c>
      <c r="E957" s="37"/>
      <c r="F957" s="37" t="s">
        <v>4153</v>
      </c>
      <c r="G957" s="37" t="s">
        <v>4154</v>
      </c>
      <c r="H957" s="35"/>
      <c r="J957" s="35"/>
      <c r="K957" s="35"/>
      <c r="L957" s="35"/>
      <c r="M957" s="35"/>
      <c r="N957" s="35"/>
      <c r="O957" s="35"/>
      <c r="P957" s="35"/>
      <c r="Q957" s="35"/>
    </row>
    <row r="958" spans="1:17">
      <c r="A958" s="36" t="s">
        <v>2346</v>
      </c>
      <c r="B958" s="36" t="s">
        <v>4155</v>
      </c>
      <c r="C958" s="37" t="s">
        <v>4153</v>
      </c>
      <c r="D958" s="37" t="s">
        <v>4154</v>
      </c>
      <c r="E958" s="37"/>
      <c r="F958" s="37" t="s">
        <v>4153</v>
      </c>
      <c r="G958" s="37" t="s">
        <v>4154</v>
      </c>
      <c r="H958" s="35"/>
      <c r="J958" s="35"/>
      <c r="K958" s="35"/>
      <c r="L958" s="35"/>
      <c r="M958" s="35"/>
      <c r="N958" s="35"/>
      <c r="O958" s="35"/>
      <c r="P958" s="35"/>
      <c r="Q958" s="35"/>
    </row>
    <row r="959" spans="1:17">
      <c r="A959" s="36" t="s">
        <v>2348</v>
      </c>
      <c r="B959" s="36" t="s">
        <v>4156</v>
      </c>
      <c r="C959" s="37" t="s">
        <v>2612</v>
      </c>
      <c r="D959" s="37" t="s">
        <v>2611</v>
      </c>
      <c r="E959" s="37"/>
      <c r="F959" s="37" t="s">
        <v>4787</v>
      </c>
      <c r="G959" s="37" t="s">
        <v>4786</v>
      </c>
      <c r="H959" s="35"/>
      <c r="J959" s="35"/>
      <c r="K959" s="35"/>
      <c r="L959" s="35"/>
      <c r="M959" s="35"/>
      <c r="N959" s="35"/>
      <c r="O959" s="35"/>
      <c r="P959" s="35"/>
      <c r="Q959" s="35"/>
    </row>
    <row r="960" spans="1:17">
      <c r="A960" s="36" t="s">
        <v>2350</v>
      </c>
      <c r="B960" s="36" t="s">
        <v>4157</v>
      </c>
      <c r="C960" s="37" t="s">
        <v>4153</v>
      </c>
      <c r="D960" s="37" t="s">
        <v>4154</v>
      </c>
      <c r="E960" s="37"/>
      <c r="F960" s="37" t="s">
        <v>4153</v>
      </c>
      <c r="G960" s="37" t="s">
        <v>4154</v>
      </c>
      <c r="H960" s="35"/>
      <c r="J960" s="35"/>
      <c r="K960" s="35"/>
      <c r="L960" s="35"/>
      <c r="M960" s="35"/>
      <c r="N960" s="35"/>
      <c r="O960" s="35"/>
      <c r="P960" s="35"/>
      <c r="Q960" s="35"/>
    </row>
    <row r="961" spans="1:17">
      <c r="A961" s="36" t="s">
        <v>2352</v>
      </c>
      <c r="B961" s="36" t="s">
        <v>4158</v>
      </c>
      <c r="C961" s="37" t="s">
        <v>4153</v>
      </c>
      <c r="D961" s="37" t="s">
        <v>4154</v>
      </c>
      <c r="E961" s="37"/>
      <c r="F961" s="37" t="s">
        <v>4153</v>
      </c>
      <c r="G961" s="37" t="s">
        <v>4154</v>
      </c>
      <c r="H961" s="35"/>
      <c r="J961" s="35"/>
      <c r="K961" s="35"/>
      <c r="L961" s="35"/>
      <c r="M961" s="35"/>
      <c r="N961" s="35"/>
      <c r="O961" s="35"/>
      <c r="P961" s="35"/>
      <c r="Q961" s="35"/>
    </row>
    <row r="962" spans="1:17">
      <c r="A962" s="36" t="s">
        <v>2354</v>
      </c>
      <c r="B962" s="36" t="s">
        <v>4159</v>
      </c>
      <c r="C962" s="37" t="s">
        <v>1762</v>
      </c>
      <c r="D962" s="37" t="s">
        <v>4160</v>
      </c>
      <c r="E962" s="37"/>
      <c r="F962" s="37" t="s">
        <v>1762</v>
      </c>
      <c r="G962" s="37" t="s">
        <v>4160</v>
      </c>
      <c r="H962" s="35"/>
      <c r="J962" s="35"/>
      <c r="K962" s="35"/>
      <c r="L962" s="35"/>
      <c r="M962" s="35"/>
      <c r="N962" s="35"/>
      <c r="O962" s="35"/>
      <c r="P962" s="35"/>
      <c r="Q962" s="35"/>
    </row>
    <row r="963" spans="1:17">
      <c r="A963" s="36" t="s">
        <v>2356</v>
      </c>
      <c r="B963" s="36" t="s">
        <v>4161</v>
      </c>
      <c r="C963" s="37" t="s">
        <v>1762</v>
      </c>
      <c r="D963" s="37" t="s">
        <v>4160</v>
      </c>
      <c r="E963" s="37"/>
      <c r="F963" s="37" t="s">
        <v>1762</v>
      </c>
      <c r="G963" s="37" t="s">
        <v>4160</v>
      </c>
      <c r="H963" s="35"/>
      <c r="J963" s="35"/>
      <c r="K963" s="35"/>
      <c r="L963" s="35"/>
      <c r="M963" s="35"/>
      <c r="N963" s="35"/>
      <c r="O963" s="35"/>
      <c r="P963" s="35"/>
      <c r="Q963" s="35"/>
    </row>
    <row r="964" spans="1:17">
      <c r="A964" s="36" t="s">
        <v>2358</v>
      </c>
      <c r="B964" s="36" t="s">
        <v>4162</v>
      </c>
      <c r="C964" s="37" t="s">
        <v>1762</v>
      </c>
      <c r="D964" s="37" t="s">
        <v>4160</v>
      </c>
      <c r="E964" s="37"/>
      <c r="F964" s="37" t="s">
        <v>1762</v>
      </c>
      <c r="G964" s="37" t="s">
        <v>4160</v>
      </c>
      <c r="H964" s="35"/>
      <c r="J964" s="35"/>
      <c r="K964" s="35"/>
      <c r="L964" s="35"/>
      <c r="M964" s="35"/>
      <c r="N964" s="35"/>
      <c r="O964" s="35"/>
      <c r="P964" s="35"/>
      <c r="Q964" s="35"/>
    </row>
    <row r="965" spans="1:17">
      <c r="A965" s="36" t="s">
        <v>2360</v>
      </c>
      <c r="B965" s="36" t="s">
        <v>4163</v>
      </c>
      <c r="C965" s="37" t="s">
        <v>1762</v>
      </c>
      <c r="D965" s="37" t="s">
        <v>4160</v>
      </c>
      <c r="E965" s="37"/>
      <c r="F965" s="37" t="s">
        <v>1762</v>
      </c>
      <c r="G965" s="37" t="s">
        <v>4160</v>
      </c>
      <c r="H965" s="35"/>
      <c r="J965" s="35"/>
      <c r="K965" s="35"/>
      <c r="L965" s="35"/>
      <c r="M965" s="35"/>
      <c r="N965" s="35"/>
      <c r="O965" s="35"/>
      <c r="P965" s="35"/>
      <c r="Q965" s="35"/>
    </row>
    <row r="966" spans="1:17">
      <c r="A966" s="36" t="s">
        <v>2362</v>
      </c>
      <c r="B966" s="36" t="s">
        <v>4164</v>
      </c>
      <c r="C966" s="37" t="s">
        <v>1762</v>
      </c>
      <c r="D966" s="37" t="s">
        <v>4160</v>
      </c>
      <c r="E966" s="37"/>
      <c r="F966" s="37" t="s">
        <v>1762</v>
      </c>
      <c r="G966" s="37" t="s">
        <v>4160</v>
      </c>
      <c r="H966" s="35"/>
      <c r="J966" s="35"/>
      <c r="K966" s="35"/>
      <c r="L966" s="35"/>
      <c r="M966" s="35"/>
      <c r="N966" s="35"/>
      <c r="O966" s="35"/>
      <c r="P966" s="35"/>
      <c r="Q966" s="35"/>
    </row>
    <row r="967" spans="1:17">
      <c r="A967" s="36" t="s">
        <v>2364</v>
      </c>
      <c r="B967" s="36" t="s">
        <v>4165</v>
      </c>
      <c r="C967" s="37" t="s">
        <v>1762</v>
      </c>
      <c r="D967" s="37" t="s">
        <v>4160</v>
      </c>
      <c r="E967" s="37"/>
      <c r="F967" s="37" t="s">
        <v>1762</v>
      </c>
      <c r="G967" s="37" t="s">
        <v>4160</v>
      </c>
      <c r="H967" s="35"/>
      <c r="J967" s="35"/>
      <c r="K967" s="35"/>
      <c r="L967" s="35"/>
      <c r="M967" s="35"/>
      <c r="N967" s="35"/>
      <c r="O967" s="35"/>
      <c r="P967" s="35"/>
      <c r="Q967" s="35"/>
    </row>
    <row r="968" spans="1:17">
      <c r="A968" s="36" t="s">
        <v>2366</v>
      </c>
      <c r="B968" s="36" t="s">
        <v>4166</v>
      </c>
      <c r="C968" s="37" t="s">
        <v>1762</v>
      </c>
      <c r="D968" s="37" t="s">
        <v>4160</v>
      </c>
      <c r="E968" s="37"/>
      <c r="F968" s="37" t="s">
        <v>1762</v>
      </c>
      <c r="G968" s="37" t="s">
        <v>4160</v>
      </c>
      <c r="H968" s="35"/>
      <c r="J968" s="35"/>
      <c r="K968" s="35"/>
      <c r="L968" s="35"/>
      <c r="M968" s="35"/>
      <c r="N968" s="35"/>
      <c r="O968" s="35"/>
      <c r="P968" s="35"/>
      <c r="Q968" s="35"/>
    </row>
    <row r="969" spans="1:17">
      <c r="A969" s="36" t="s">
        <v>2368</v>
      </c>
      <c r="B969" s="36" t="s">
        <v>4167</v>
      </c>
      <c r="C969" s="37" t="s">
        <v>4168</v>
      </c>
      <c r="D969" s="37" t="s">
        <v>4169</v>
      </c>
      <c r="E969" s="37"/>
      <c r="F969" s="37" t="s">
        <v>4168</v>
      </c>
      <c r="G969" s="37" t="s">
        <v>4169</v>
      </c>
      <c r="H969" s="35"/>
      <c r="J969" s="35"/>
      <c r="K969" s="35"/>
      <c r="L969" s="35"/>
      <c r="M969" s="35"/>
      <c r="N969" s="35"/>
      <c r="O969" s="35"/>
      <c r="P969" s="35"/>
      <c r="Q969" s="35"/>
    </row>
    <row r="970" spans="1:17">
      <c r="A970" s="36" t="s">
        <v>2370</v>
      </c>
      <c r="B970" s="36" t="s">
        <v>4170</v>
      </c>
      <c r="C970" s="37" t="s">
        <v>3745</v>
      </c>
      <c r="D970" s="37" t="s">
        <v>3746</v>
      </c>
      <c r="E970" s="37"/>
      <c r="F970" s="37" t="s">
        <v>3745</v>
      </c>
      <c r="G970" s="37" t="s">
        <v>3746</v>
      </c>
      <c r="H970" s="35"/>
      <c r="J970" s="35"/>
      <c r="K970" s="35"/>
      <c r="L970" s="35"/>
      <c r="M970" s="35"/>
      <c r="N970" s="35"/>
      <c r="O970" s="35"/>
      <c r="P970" s="35"/>
      <c r="Q970" s="35"/>
    </row>
    <row r="971" spans="1:17">
      <c r="A971" s="36" t="s">
        <v>4171</v>
      </c>
      <c r="B971" s="36" t="s">
        <v>4172</v>
      </c>
      <c r="C971" s="37"/>
      <c r="D971" s="37"/>
      <c r="E971" s="37"/>
      <c r="F971" s="37"/>
      <c r="G971" s="37"/>
      <c r="H971" s="35"/>
      <c r="J971" s="35"/>
      <c r="K971" s="35"/>
      <c r="L971" s="35"/>
      <c r="M971" s="35"/>
      <c r="N971" s="35"/>
      <c r="O971" s="35"/>
      <c r="P971" s="35"/>
      <c r="Q971" s="35"/>
    </row>
    <row r="972" spans="1:17">
      <c r="A972" s="36" t="s">
        <v>2372</v>
      </c>
      <c r="B972" s="36" t="s">
        <v>4173</v>
      </c>
      <c r="C972" s="37" t="s">
        <v>4174</v>
      </c>
      <c r="D972" s="37" t="s">
        <v>4175</v>
      </c>
      <c r="E972" s="37"/>
      <c r="F972" s="37" t="s">
        <v>4174</v>
      </c>
      <c r="G972" s="37" t="s">
        <v>4175</v>
      </c>
      <c r="H972" s="35"/>
      <c r="J972" s="35"/>
      <c r="K972" s="35"/>
      <c r="L972" s="35"/>
      <c r="M972" s="35"/>
      <c r="N972" s="35"/>
      <c r="O972" s="35"/>
      <c r="P972" s="35"/>
      <c r="Q972" s="35"/>
    </row>
    <row r="973" spans="1:17">
      <c r="A973" s="36" t="s">
        <v>2374</v>
      </c>
      <c r="B973" s="36" t="s">
        <v>4176</v>
      </c>
      <c r="C973" s="37" t="s">
        <v>4174</v>
      </c>
      <c r="D973" s="37" t="s">
        <v>4175</v>
      </c>
      <c r="E973" s="37"/>
      <c r="F973" s="37" t="s">
        <v>4174</v>
      </c>
      <c r="G973" s="37" t="s">
        <v>4175</v>
      </c>
      <c r="H973" s="35"/>
      <c r="J973" s="35"/>
      <c r="K973" s="35"/>
      <c r="L973" s="35"/>
      <c r="M973" s="35"/>
      <c r="N973" s="35"/>
      <c r="O973" s="35"/>
      <c r="P973" s="35"/>
      <c r="Q973" s="35"/>
    </row>
    <row r="974" spans="1:17">
      <c r="A974" s="36" t="s">
        <v>2376</v>
      </c>
      <c r="B974" s="36" t="s">
        <v>4177</v>
      </c>
      <c r="C974" s="37" t="s">
        <v>4174</v>
      </c>
      <c r="D974" s="37" t="s">
        <v>4175</v>
      </c>
      <c r="E974" s="37"/>
      <c r="F974" s="37" t="s">
        <v>4174</v>
      </c>
      <c r="G974" s="37" t="s">
        <v>4175</v>
      </c>
      <c r="H974" s="35"/>
      <c r="J974" s="35"/>
      <c r="K974" s="35"/>
      <c r="L974" s="35"/>
      <c r="M974" s="35"/>
      <c r="N974" s="35"/>
      <c r="O974" s="35"/>
      <c r="P974" s="35"/>
      <c r="Q974" s="35"/>
    </row>
    <row r="975" spans="1:17">
      <c r="A975" s="36" t="s">
        <v>2378</v>
      </c>
      <c r="B975" s="36" t="s">
        <v>4178</v>
      </c>
      <c r="C975" s="37" t="s">
        <v>1562</v>
      </c>
      <c r="D975" s="37" t="s">
        <v>3601</v>
      </c>
      <c r="E975" s="37"/>
      <c r="F975" s="37" t="s">
        <v>1562</v>
      </c>
      <c r="G975" s="37" t="s">
        <v>3601</v>
      </c>
      <c r="H975" s="35"/>
      <c r="J975" s="35"/>
      <c r="K975" s="35"/>
      <c r="L975" s="35"/>
      <c r="M975" s="35"/>
      <c r="N975" s="35"/>
      <c r="O975" s="35"/>
      <c r="P975" s="35"/>
      <c r="Q975" s="35"/>
    </row>
    <row r="976" spans="1:17">
      <c r="A976" s="36" t="s">
        <v>2380</v>
      </c>
      <c r="B976" s="36" t="s">
        <v>4179</v>
      </c>
      <c r="C976" s="37" t="s">
        <v>4180</v>
      </c>
      <c r="D976" s="37" t="s">
        <v>4181</v>
      </c>
      <c r="E976" s="37"/>
      <c r="F976" s="37" t="s">
        <v>4180</v>
      </c>
      <c r="G976" s="37" t="s">
        <v>4181</v>
      </c>
      <c r="H976" s="35"/>
      <c r="J976" s="35"/>
      <c r="K976" s="35"/>
      <c r="L976" s="35"/>
      <c r="M976" s="35"/>
      <c r="N976" s="35"/>
      <c r="O976" s="35"/>
      <c r="P976" s="35"/>
      <c r="Q976" s="35"/>
    </row>
    <row r="977" spans="1:17">
      <c r="A977" s="36" t="s">
        <v>2382</v>
      </c>
      <c r="B977" s="36" t="s">
        <v>4182</v>
      </c>
      <c r="C977" s="37" t="s">
        <v>4183</v>
      </c>
      <c r="D977" s="37" t="s">
        <v>4184</v>
      </c>
      <c r="E977" s="37"/>
      <c r="F977" s="37" t="s">
        <v>4183</v>
      </c>
      <c r="G977" s="37" t="s">
        <v>4184</v>
      </c>
      <c r="H977" s="35"/>
      <c r="J977" s="35"/>
      <c r="K977" s="35"/>
      <c r="L977" s="35"/>
      <c r="M977" s="35"/>
      <c r="N977" s="35"/>
      <c r="O977" s="35"/>
      <c r="P977" s="35"/>
      <c r="Q977" s="35"/>
    </row>
    <row r="978" spans="1:17">
      <c r="A978" s="36" t="s">
        <v>2384</v>
      </c>
      <c r="B978" s="36" t="s">
        <v>4185</v>
      </c>
      <c r="C978" s="37" t="s">
        <v>4174</v>
      </c>
      <c r="D978" s="37" t="s">
        <v>4175</v>
      </c>
      <c r="E978" s="37"/>
      <c r="F978" s="37" t="s">
        <v>4174</v>
      </c>
      <c r="G978" s="37" t="s">
        <v>4175</v>
      </c>
      <c r="H978" s="35"/>
      <c r="J978" s="35"/>
      <c r="K978" s="35"/>
      <c r="L978" s="35"/>
      <c r="M978" s="35"/>
      <c r="N978" s="35"/>
      <c r="O978" s="35"/>
      <c r="P978" s="35"/>
      <c r="Q978" s="35"/>
    </row>
    <row r="979" spans="1:17">
      <c r="A979" s="36" t="s">
        <v>2386</v>
      </c>
      <c r="B979" s="36" t="s">
        <v>4186</v>
      </c>
      <c r="C979" s="37" t="s">
        <v>4174</v>
      </c>
      <c r="D979" s="37" t="s">
        <v>4175</v>
      </c>
      <c r="E979" s="37"/>
      <c r="F979" s="37" t="s">
        <v>4174</v>
      </c>
      <c r="G979" s="37" t="s">
        <v>4175</v>
      </c>
      <c r="H979" s="35"/>
      <c r="J979" s="35"/>
      <c r="K979" s="35"/>
      <c r="L979" s="35"/>
      <c r="M979" s="35"/>
      <c r="N979" s="35"/>
      <c r="O979" s="35"/>
      <c r="P979" s="35"/>
      <c r="Q979" s="35"/>
    </row>
    <row r="980" spans="1:17">
      <c r="A980" s="36" t="s">
        <v>4187</v>
      </c>
      <c r="B980" s="36" t="s">
        <v>4188</v>
      </c>
      <c r="C980" s="37"/>
      <c r="D980" s="37"/>
      <c r="E980" s="37"/>
      <c r="F980" s="37"/>
      <c r="G980" s="37"/>
      <c r="H980" s="35"/>
      <c r="J980" s="35"/>
      <c r="K980" s="35"/>
      <c r="L980" s="35"/>
      <c r="M980" s="35"/>
      <c r="N980" s="35"/>
      <c r="O980" s="35"/>
      <c r="P980" s="35"/>
      <c r="Q980" s="35"/>
    </row>
    <row r="981" spans="1:17">
      <c r="A981" s="36" t="s">
        <v>2388</v>
      </c>
      <c r="B981" s="36" t="s">
        <v>4189</v>
      </c>
      <c r="C981" s="37" t="s">
        <v>2468</v>
      </c>
      <c r="D981" s="37" t="s">
        <v>4190</v>
      </c>
      <c r="E981" s="37"/>
      <c r="F981" s="37" t="s">
        <v>2468</v>
      </c>
      <c r="G981" s="37" t="s">
        <v>4190</v>
      </c>
      <c r="H981" s="35"/>
      <c r="J981" s="35"/>
      <c r="K981" s="35"/>
      <c r="L981" s="35"/>
      <c r="M981" s="35"/>
      <c r="N981" s="35"/>
      <c r="O981" s="35"/>
      <c r="P981" s="35"/>
      <c r="Q981" s="35"/>
    </row>
    <row r="982" spans="1:17">
      <c r="A982" s="36" t="s">
        <v>2390</v>
      </c>
      <c r="B982" s="36" t="s">
        <v>4191</v>
      </c>
      <c r="C982" s="37" t="s">
        <v>2468</v>
      </c>
      <c r="D982" s="37" t="s">
        <v>4190</v>
      </c>
      <c r="E982" s="37"/>
      <c r="F982" s="37" t="s">
        <v>2468</v>
      </c>
      <c r="G982" s="37" t="s">
        <v>4190</v>
      </c>
      <c r="H982" s="35"/>
      <c r="J982" s="35"/>
      <c r="K982" s="35"/>
      <c r="L982" s="35"/>
      <c r="M982" s="35"/>
      <c r="N982" s="35"/>
      <c r="O982" s="35"/>
      <c r="P982" s="35"/>
      <c r="Q982" s="35"/>
    </row>
    <row r="983" spans="1:17">
      <c r="A983" s="36" t="s">
        <v>2392</v>
      </c>
      <c r="B983" s="36" t="s">
        <v>4192</v>
      </c>
      <c r="C983" s="37" t="s">
        <v>2468</v>
      </c>
      <c r="D983" s="37" t="s">
        <v>4190</v>
      </c>
      <c r="E983" s="37"/>
      <c r="F983" s="37" t="s">
        <v>2468</v>
      </c>
      <c r="G983" s="37" t="s">
        <v>4190</v>
      </c>
      <c r="H983" s="35"/>
      <c r="J983" s="35"/>
      <c r="K983" s="35"/>
      <c r="L983" s="35"/>
      <c r="M983" s="35"/>
      <c r="N983" s="35"/>
      <c r="O983" s="35"/>
      <c r="P983" s="35"/>
      <c r="Q983" s="35"/>
    </row>
    <row r="984" spans="1:17">
      <c r="A984" s="36" t="s">
        <v>2394</v>
      </c>
      <c r="B984" s="36" t="s">
        <v>4193</v>
      </c>
      <c r="C984" s="37" t="s">
        <v>2468</v>
      </c>
      <c r="D984" s="37" t="s">
        <v>4190</v>
      </c>
      <c r="E984" s="37"/>
      <c r="F984" s="37" t="s">
        <v>2468</v>
      </c>
      <c r="G984" s="37" t="s">
        <v>4190</v>
      </c>
      <c r="H984" s="35"/>
      <c r="J984" s="35"/>
      <c r="K984" s="35"/>
      <c r="L984" s="35"/>
      <c r="M984" s="35"/>
      <c r="N984" s="35"/>
      <c r="O984" s="35"/>
      <c r="P984" s="35"/>
      <c r="Q984" s="35"/>
    </row>
    <row r="985" spans="1:17">
      <c r="A985" s="36" t="s">
        <v>2396</v>
      </c>
      <c r="B985" s="36" t="s">
        <v>4194</v>
      </c>
      <c r="C985" s="37" t="s">
        <v>2468</v>
      </c>
      <c r="D985" s="37" t="s">
        <v>4190</v>
      </c>
      <c r="E985" s="37"/>
      <c r="F985" s="37" t="s">
        <v>2468</v>
      </c>
      <c r="G985" s="37" t="s">
        <v>4190</v>
      </c>
      <c r="H985" s="35"/>
      <c r="J985" s="35"/>
      <c r="K985" s="35"/>
      <c r="L985" s="35"/>
      <c r="M985" s="35"/>
      <c r="N985" s="35"/>
      <c r="O985" s="35"/>
      <c r="P985" s="35"/>
      <c r="Q985" s="35"/>
    </row>
    <row r="986" spans="1:17">
      <c r="A986" s="36" t="s">
        <v>2398</v>
      </c>
      <c r="B986" s="36" t="s">
        <v>4195</v>
      </c>
      <c r="C986" s="37" t="s">
        <v>2468</v>
      </c>
      <c r="D986" s="37" t="s">
        <v>4190</v>
      </c>
      <c r="E986" s="37"/>
      <c r="F986" s="37" t="s">
        <v>2468</v>
      </c>
      <c r="G986" s="37" t="s">
        <v>4190</v>
      </c>
      <c r="H986" s="35"/>
      <c r="J986" s="35"/>
      <c r="K986" s="35"/>
      <c r="L986" s="35"/>
      <c r="M986" s="35"/>
      <c r="N986" s="35"/>
      <c r="O986" s="35"/>
      <c r="P986" s="35"/>
      <c r="Q986" s="35"/>
    </row>
    <row r="987" spans="1:17">
      <c r="A987" s="36" t="s">
        <v>2400</v>
      </c>
      <c r="B987" s="36" t="s">
        <v>4196</v>
      </c>
      <c r="C987" s="37" t="s">
        <v>3920</v>
      </c>
      <c r="D987" s="37" t="s">
        <v>3921</v>
      </c>
      <c r="E987" s="37"/>
      <c r="F987" s="37" t="s">
        <v>3920</v>
      </c>
      <c r="G987" s="37" t="s">
        <v>3921</v>
      </c>
      <c r="H987" s="35"/>
      <c r="J987" s="35"/>
      <c r="K987" s="35"/>
      <c r="L987" s="35"/>
      <c r="M987" s="35"/>
      <c r="N987" s="35"/>
      <c r="O987" s="35"/>
      <c r="P987" s="35"/>
      <c r="Q987" s="35"/>
    </row>
    <row r="988" spans="1:17">
      <c r="A988" s="36" t="s">
        <v>4197</v>
      </c>
      <c r="B988" s="36" t="s">
        <v>4198</v>
      </c>
      <c r="C988" s="37"/>
      <c r="D988" s="37"/>
      <c r="E988" s="37"/>
      <c r="F988" s="37"/>
      <c r="G988" s="37"/>
      <c r="H988" s="35"/>
      <c r="J988" s="35"/>
      <c r="K988" s="35"/>
      <c r="L988" s="35"/>
      <c r="M988" s="35"/>
      <c r="N988" s="35"/>
      <c r="O988" s="35"/>
      <c r="P988" s="35"/>
      <c r="Q988" s="35"/>
    </row>
    <row r="989" spans="1:17">
      <c r="A989" s="36" t="s">
        <v>2402</v>
      </c>
      <c r="B989" s="36" t="s">
        <v>4199</v>
      </c>
      <c r="C989" s="37" t="s">
        <v>1982</v>
      </c>
      <c r="D989" s="37" t="s">
        <v>4200</v>
      </c>
      <c r="E989" s="37"/>
      <c r="F989" s="37" t="s">
        <v>1982</v>
      </c>
      <c r="G989" s="37" t="s">
        <v>4200</v>
      </c>
      <c r="H989" s="35"/>
      <c r="J989" s="35"/>
      <c r="K989" s="35"/>
      <c r="L989" s="35"/>
      <c r="M989" s="35"/>
      <c r="N989" s="35"/>
      <c r="O989" s="35"/>
      <c r="P989" s="35"/>
      <c r="Q989" s="35"/>
    </row>
    <row r="990" spans="1:17">
      <c r="A990" s="36" t="s">
        <v>2404</v>
      </c>
      <c r="B990" s="36" t="s">
        <v>4201</v>
      </c>
      <c r="C990" s="37" t="s">
        <v>2468</v>
      </c>
      <c r="D990" s="37" t="s">
        <v>4190</v>
      </c>
      <c r="E990" s="37"/>
      <c r="F990" s="37" t="s">
        <v>2468</v>
      </c>
      <c r="G990" s="37" t="s">
        <v>4190</v>
      </c>
      <c r="H990" s="35"/>
      <c r="J990" s="35"/>
      <c r="K990" s="35"/>
      <c r="L990" s="35"/>
      <c r="M990" s="35"/>
      <c r="N990" s="35"/>
      <c r="O990" s="35"/>
      <c r="P990" s="35"/>
      <c r="Q990" s="35"/>
    </row>
    <row r="991" spans="1:17">
      <c r="A991" s="36" t="s">
        <v>2406</v>
      </c>
      <c r="B991" s="36" t="s">
        <v>4202</v>
      </c>
      <c r="C991" s="37" t="s">
        <v>2468</v>
      </c>
      <c r="D991" s="37" t="s">
        <v>4190</v>
      </c>
      <c r="E991" s="37"/>
      <c r="F991" s="37" t="s">
        <v>2468</v>
      </c>
      <c r="G991" s="37" t="s">
        <v>4190</v>
      </c>
      <c r="H991" s="35"/>
      <c r="J991" s="35"/>
      <c r="K991" s="35"/>
      <c r="L991" s="35"/>
      <c r="M991" s="35"/>
      <c r="N991" s="35"/>
      <c r="O991" s="35"/>
      <c r="P991" s="35"/>
      <c r="Q991" s="35"/>
    </row>
    <row r="992" spans="1:17">
      <c r="A992" s="36" t="s">
        <v>2408</v>
      </c>
      <c r="B992" s="36" t="s">
        <v>4203</v>
      </c>
      <c r="C992" s="37" t="s">
        <v>2520</v>
      </c>
      <c r="D992" s="37" t="s">
        <v>4204</v>
      </c>
      <c r="E992" s="37"/>
      <c r="F992" s="37" t="s">
        <v>2520</v>
      </c>
      <c r="G992" s="37" t="s">
        <v>4204</v>
      </c>
      <c r="H992" s="35"/>
      <c r="J992" s="35"/>
      <c r="K992" s="35"/>
      <c r="L992" s="35"/>
      <c r="M992" s="35"/>
      <c r="N992" s="35"/>
      <c r="O992" s="35"/>
      <c r="P992" s="35"/>
      <c r="Q992" s="35"/>
    </row>
    <row r="993" spans="1:17">
      <c r="A993" s="36" t="s">
        <v>2410</v>
      </c>
      <c r="B993" s="36" t="s">
        <v>4205</v>
      </c>
      <c r="C993" s="37" t="s">
        <v>2458</v>
      </c>
      <c r="D993" s="37" t="s">
        <v>4206</v>
      </c>
      <c r="E993" s="37"/>
      <c r="F993" s="37" t="s">
        <v>2458</v>
      </c>
      <c r="G993" s="37" t="s">
        <v>4206</v>
      </c>
      <c r="H993" s="35"/>
      <c r="J993" s="35"/>
      <c r="K993" s="35"/>
      <c r="L993" s="35"/>
      <c r="M993" s="35"/>
      <c r="N993" s="35"/>
      <c r="O993" s="35"/>
      <c r="P993" s="35"/>
      <c r="Q993" s="35"/>
    </row>
    <row r="994" spans="1:17">
      <c r="A994" s="36" t="s">
        <v>2412</v>
      </c>
      <c r="B994" s="36" t="s">
        <v>4207</v>
      </c>
      <c r="C994" s="37" t="s">
        <v>2762</v>
      </c>
      <c r="D994" s="37" t="s">
        <v>2761</v>
      </c>
      <c r="E994" s="37"/>
      <c r="F994" s="37" t="s">
        <v>2762</v>
      </c>
      <c r="G994" s="37" t="s">
        <v>2761</v>
      </c>
      <c r="H994" s="35"/>
      <c r="J994" s="35"/>
      <c r="K994" s="35"/>
      <c r="L994" s="35"/>
      <c r="M994" s="35"/>
      <c r="N994" s="35"/>
      <c r="O994" s="35"/>
      <c r="P994" s="35"/>
      <c r="Q994" s="35"/>
    </row>
    <row r="995" spans="1:17">
      <c r="A995" s="36" t="s">
        <v>2414</v>
      </c>
      <c r="B995" s="36" t="s">
        <v>4208</v>
      </c>
      <c r="C995" s="37" t="s">
        <v>2612</v>
      </c>
      <c r="D995" s="37" t="s">
        <v>2611</v>
      </c>
      <c r="E995" s="37"/>
      <c r="F995" s="37" t="s">
        <v>4787</v>
      </c>
      <c r="G995" s="37" t="s">
        <v>4786</v>
      </c>
      <c r="H995" s="35"/>
      <c r="J995" s="35"/>
      <c r="K995" s="35"/>
      <c r="L995" s="35"/>
      <c r="M995" s="35"/>
      <c r="N995" s="35"/>
      <c r="O995" s="35"/>
      <c r="P995" s="35"/>
      <c r="Q995" s="35"/>
    </row>
    <row r="996" spans="1:17">
      <c r="A996" s="36" t="s">
        <v>2416</v>
      </c>
      <c r="B996" s="36" t="s">
        <v>4209</v>
      </c>
      <c r="C996" s="37" t="s">
        <v>4052</v>
      </c>
      <c r="D996" s="37" t="s">
        <v>4053</v>
      </c>
      <c r="E996" s="37"/>
      <c r="F996" s="37" t="s">
        <v>4052</v>
      </c>
      <c r="G996" s="37" t="s">
        <v>4053</v>
      </c>
      <c r="H996" s="35"/>
      <c r="J996" s="35"/>
      <c r="K996" s="35"/>
      <c r="L996" s="35"/>
      <c r="M996" s="35"/>
      <c r="N996" s="35"/>
      <c r="O996" s="35"/>
      <c r="P996" s="35"/>
      <c r="Q996" s="35"/>
    </row>
    <row r="997" spans="1:17">
      <c r="A997" s="36" t="s">
        <v>2418</v>
      </c>
      <c r="B997" s="36" t="s">
        <v>4210</v>
      </c>
      <c r="C997" s="37" t="s">
        <v>4211</v>
      </c>
      <c r="D997" s="37" t="s">
        <v>4212</v>
      </c>
      <c r="E997" s="37"/>
      <c r="F997" s="37" t="s">
        <v>4211</v>
      </c>
      <c r="G997" s="37" t="s">
        <v>4212</v>
      </c>
      <c r="H997" s="35"/>
      <c r="J997" s="35"/>
      <c r="K997" s="35"/>
      <c r="L997" s="35"/>
      <c r="M997" s="35"/>
      <c r="N997" s="35"/>
      <c r="O997" s="35"/>
      <c r="P997" s="35"/>
      <c r="Q997" s="35"/>
    </row>
    <row r="998" spans="1:17">
      <c r="A998" s="36" t="s">
        <v>2420</v>
      </c>
      <c r="B998" s="36" t="s">
        <v>4213</v>
      </c>
      <c r="C998" s="37" t="s">
        <v>2520</v>
      </c>
      <c r="D998" s="37" t="s">
        <v>4204</v>
      </c>
      <c r="E998" s="37"/>
      <c r="F998" s="37" t="s">
        <v>2520</v>
      </c>
      <c r="G998" s="37" t="s">
        <v>4204</v>
      </c>
      <c r="H998" s="35"/>
      <c r="J998" s="35"/>
      <c r="K998" s="35"/>
      <c r="L998" s="35"/>
      <c r="M998" s="35"/>
      <c r="N998" s="35"/>
      <c r="O998" s="35"/>
      <c r="P998" s="35"/>
      <c r="Q998" s="35"/>
    </row>
    <row r="999" spans="1:17">
      <c r="A999" s="36" t="s">
        <v>2422</v>
      </c>
      <c r="B999" s="36" t="s">
        <v>4214</v>
      </c>
      <c r="C999" s="37" t="s">
        <v>2612</v>
      </c>
      <c r="D999" s="37" t="s">
        <v>2611</v>
      </c>
      <c r="E999" s="37"/>
      <c r="F999" s="37" t="s">
        <v>4787</v>
      </c>
      <c r="G999" s="37" t="s">
        <v>4786</v>
      </c>
      <c r="H999" s="35"/>
      <c r="J999" s="35"/>
      <c r="K999" s="35"/>
      <c r="L999" s="35"/>
      <c r="M999" s="35"/>
      <c r="N999" s="35"/>
      <c r="O999" s="35"/>
      <c r="P999" s="35"/>
      <c r="Q999" s="35"/>
    </row>
    <row r="1000" spans="1:17">
      <c r="A1000" s="36" t="s">
        <v>2424</v>
      </c>
      <c r="B1000" s="36" t="s">
        <v>4215</v>
      </c>
      <c r="C1000" s="37" t="s">
        <v>2762</v>
      </c>
      <c r="D1000" s="37" t="s">
        <v>2761</v>
      </c>
      <c r="E1000" s="37"/>
      <c r="F1000" s="37" t="s">
        <v>2762</v>
      </c>
      <c r="G1000" s="37" t="s">
        <v>2761</v>
      </c>
      <c r="H1000" s="35"/>
      <c r="J1000" s="35"/>
      <c r="K1000" s="35"/>
      <c r="L1000" s="35"/>
      <c r="M1000" s="35"/>
      <c r="N1000" s="35"/>
      <c r="O1000" s="35"/>
      <c r="P1000" s="35"/>
      <c r="Q1000" s="35"/>
    </row>
    <row r="1001" spans="1:17">
      <c r="A1001" s="36" t="s">
        <v>2426</v>
      </c>
      <c r="B1001" s="36" t="s">
        <v>4216</v>
      </c>
      <c r="C1001" s="37" t="s">
        <v>2612</v>
      </c>
      <c r="D1001" s="37" t="s">
        <v>2611</v>
      </c>
      <c r="E1001" s="37"/>
      <c r="F1001" s="37" t="s">
        <v>4787</v>
      </c>
      <c r="G1001" s="37" t="s">
        <v>4786</v>
      </c>
      <c r="H1001" s="35"/>
      <c r="J1001" s="35"/>
      <c r="K1001" s="35"/>
      <c r="L1001" s="35"/>
      <c r="M1001" s="35"/>
      <c r="N1001" s="35"/>
      <c r="O1001" s="35"/>
      <c r="P1001" s="35"/>
      <c r="Q1001" s="35"/>
    </row>
    <row r="1002" spans="1:17">
      <c r="A1002" s="36" t="s">
        <v>4217</v>
      </c>
      <c r="B1002" s="36" t="s">
        <v>4218</v>
      </c>
      <c r="C1002" s="37"/>
      <c r="D1002" s="37"/>
      <c r="E1002" s="37"/>
      <c r="F1002" s="37"/>
      <c r="G1002" s="37"/>
      <c r="H1002" s="35"/>
      <c r="J1002" s="35"/>
      <c r="K1002" s="35"/>
      <c r="L1002" s="35"/>
      <c r="M1002" s="35"/>
      <c r="N1002" s="35"/>
      <c r="O1002" s="35"/>
      <c r="P1002" s="35"/>
      <c r="Q1002" s="35"/>
    </row>
    <row r="1003" spans="1:17">
      <c r="A1003" s="36" t="s">
        <v>4219</v>
      </c>
      <c r="B1003" s="36" t="s">
        <v>4220</v>
      </c>
      <c r="C1003" s="37"/>
      <c r="D1003" s="37"/>
      <c r="E1003" s="37"/>
      <c r="F1003" s="37"/>
      <c r="G1003" s="37"/>
      <c r="H1003" s="35"/>
      <c r="J1003" s="35"/>
      <c r="K1003" s="35"/>
      <c r="L1003" s="35"/>
      <c r="M1003" s="35"/>
      <c r="N1003" s="35"/>
      <c r="O1003" s="35"/>
      <c r="P1003" s="35"/>
      <c r="Q1003" s="35"/>
    </row>
    <row r="1004" spans="1:17">
      <c r="A1004" s="36" t="s">
        <v>2428</v>
      </c>
      <c r="B1004" s="36" t="s">
        <v>4221</v>
      </c>
      <c r="C1004" s="37" t="s">
        <v>4222</v>
      </c>
      <c r="D1004" s="37" t="s">
        <v>4223</v>
      </c>
      <c r="E1004" s="37"/>
      <c r="F1004" s="37" t="s">
        <v>4222</v>
      </c>
      <c r="G1004" s="37" t="s">
        <v>4223</v>
      </c>
      <c r="H1004" s="35"/>
      <c r="J1004" s="35"/>
      <c r="K1004" s="35"/>
      <c r="L1004" s="35"/>
      <c r="M1004" s="35"/>
      <c r="N1004" s="35"/>
      <c r="O1004" s="35"/>
      <c r="P1004" s="35"/>
      <c r="Q1004" s="35"/>
    </row>
    <row r="1005" spans="1:17">
      <c r="A1005" s="36" t="s">
        <v>2430</v>
      </c>
      <c r="B1005" s="36" t="s">
        <v>4224</v>
      </c>
      <c r="C1005" s="37" t="s">
        <v>4225</v>
      </c>
      <c r="D1005" s="37" t="s">
        <v>4226</v>
      </c>
      <c r="E1005" s="37"/>
      <c r="F1005" s="37" t="s">
        <v>4225</v>
      </c>
      <c r="G1005" s="37" t="s">
        <v>4226</v>
      </c>
      <c r="H1005" s="35"/>
      <c r="J1005" s="35"/>
      <c r="K1005" s="35"/>
      <c r="L1005" s="35"/>
      <c r="M1005" s="35"/>
      <c r="N1005" s="35"/>
      <c r="O1005" s="35"/>
      <c r="P1005" s="35"/>
      <c r="Q1005" s="35"/>
    </row>
    <row r="1006" spans="1:17">
      <c r="A1006" s="36" t="s">
        <v>2432</v>
      </c>
      <c r="B1006" s="36" t="s">
        <v>4227</v>
      </c>
      <c r="C1006" s="37" t="s">
        <v>4222</v>
      </c>
      <c r="D1006" s="37" t="s">
        <v>4223</v>
      </c>
      <c r="E1006" s="37"/>
      <c r="F1006" s="37" t="s">
        <v>4222</v>
      </c>
      <c r="G1006" s="37" t="s">
        <v>4223</v>
      </c>
      <c r="H1006" s="35"/>
      <c r="J1006" s="35"/>
      <c r="K1006" s="35"/>
      <c r="L1006" s="35"/>
      <c r="M1006" s="35"/>
      <c r="N1006" s="35"/>
      <c r="O1006" s="35"/>
      <c r="P1006" s="35"/>
      <c r="Q1006" s="35"/>
    </row>
    <row r="1007" spans="1:17">
      <c r="A1007" s="36" t="s">
        <v>2434</v>
      </c>
      <c r="B1007" s="36" t="s">
        <v>4228</v>
      </c>
      <c r="C1007" s="37" t="s">
        <v>4229</v>
      </c>
      <c r="D1007" s="37" t="s">
        <v>4230</v>
      </c>
      <c r="E1007" s="37"/>
      <c r="F1007" s="37" t="s">
        <v>4229</v>
      </c>
      <c r="G1007" s="37" t="s">
        <v>4230</v>
      </c>
      <c r="H1007" s="35"/>
      <c r="J1007" s="35"/>
      <c r="K1007" s="35"/>
      <c r="L1007" s="35"/>
      <c r="M1007" s="35"/>
      <c r="N1007" s="35"/>
      <c r="O1007" s="35"/>
      <c r="P1007" s="35"/>
      <c r="Q1007" s="35"/>
    </row>
    <row r="1008" spans="1:17">
      <c r="A1008" s="36" t="s">
        <v>2436</v>
      </c>
      <c r="B1008" s="36" t="s">
        <v>4231</v>
      </c>
      <c r="C1008" s="37" t="s">
        <v>4232</v>
      </c>
      <c r="D1008" s="37" t="s">
        <v>4233</v>
      </c>
      <c r="E1008" s="37"/>
      <c r="F1008" s="37" t="s">
        <v>4232</v>
      </c>
      <c r="G1008" s="37" t="s">
        <v>4233</v>
      </c>
      <c r="H1008" s="35"/>
      <c r="J1008" s="35"/>
      <c r="K1008" s="35"/>
      <c r="L1008" s="35"/>
      <c r="M1008" s="35"/>
      <c r="N1008" s="35"/>
      <c r="O1008" s="35"/>
      <c r="P1008" s="35"/>
      <c r="Q1008" s="35"/>
    </row>
    <row r="1009" spans="1:17">
      <c r="A1009" s="36" t="s">
        <v>2438</v>
      </c>
      <c r="B1009" s="36" t="s">
        <v>4234</v>
      </c>
      <c r="C1009" s="37" t="s">
        <v>4222</v>
      </c>
      <c r="D1009" s="37" t="s">
        <v>4223</v>
      </c>
      <c r="E1009" s="37"/>
      <c r="F1009" s="37" t="s">
        <v>4222</v>
      </c>
      <c r="G1009" s="37" t="s">
        <v>4223</v>
      </c>
      <c r="H1009" s="35"/>
      <c r="J1009" s="35"/>
      <c r="K1009" s="35"/>
      <c r="L1009" s="35"/>
      <c r="M1009" s="35"/>
      <c r="N1009" s="35"/>
      <c r="O1009" s="35"/>
      <c r="P1009" s="35"/>
      <c r="Q1009" s="35"/>
    </row>
    <row r="1010" spans="1:17">
      <c r="A1010" s="36" t="s">
        <v>2440</v>
      </c>
      <c r="B1010" s="36" t="s">
        <v>4235</v>
      </c>
      <c r="C1010" s="37" t="s">
        <v>4236</v>
      </c>
      <c r="D1010" s="37" t="s">
        <v>4237</v>
      </c>
      <c r="E1010" s="37"/>
      <c r="F1010" s="37" t="s">
        <v>4236</v>
      </c>
      <c r="G1010" s="37" t="s">
        <v>4237</v>
      </c>
      <c r="H1010" s="35"/>
      <c r="J1010" s="35"/>
      <c r="K1010" s="35"/>
      <c r="L1010" s="35"/>
      <c r="M1010" s="35"/>
      <c r="N1010" s="35"/>
      <c r="O1010" s="35"/>
      <c r="P1010" s="35"/>
      <c r="Q1010" s="35"/>
    </row>
    <row r="1011" spans="1:17">
      <c r="A1011" s="36" t="s">
        <v>2442</v>
      </c>
      <c r="B1011" s="36" t="s">
        <v>4238</v>
      </c>
      <c r="C1011" s="37" t="s">
        <v>4239</v>
      </c>
      <c r="D1011" s="37" t="s">
        <v>4240</v>
      </c>
      <c r="E1011" s="37"/>
      <c r="F1011" s="37" t="s">
        <v>4239</v>
      </c>
      <c r="G1011" s="37" t="s">
        <v>4240</v>
      </c>
      <c r="H1011" s="35"/>
      <c r="J1011" s="35"/>
      <c r="K1011" s="35"/>
      <c r="L1011" s="35"/>
      <c r="M1011" s="35"/>
      <c r="N1011" s="35"/>
      <c r="O1011" s="35"/>
      <c r="P1011" s="35"/>
      <c r="Q1011" s="35"/>
    </row>
    <row r="1012" spans="1:17">
      <c r="A1012" s="36" t="s">
        <v>2444</v>
      </c>
      <c r="B1012" s="36" t="s">
        <v>4241</v>
      </c>
      <c r="C1012" s="37" t="s">
        <v>4239</v>
      </c>
      <c r="D1012" s="37" t="s">
        <v>4240</v>
      </c>
      <c r="E1012" s="37"/>
      <c r="F1012" s="37" t="s">
        <v>4239</v>
      </c>
      <c r="G1012" s="37" t="s">
        <v>4240</v>
      </c>
      <c r="H1012" s="35"/>
      <c r="J1012" s="35"/>
      <c r="K1012" s="35"/>
      <c r="L1012" s="35"/>
      <c r="M1012" s="35"/>
      <c r="N1012" s="35"/>
      <c r="O1012" s="35"/>
      <c r="P1012" s="35"/>
      <c r="Q1012" s="35"/>
    </row>
    <row r="1013" spans="1:17">
      <c r="A1013" s="36" t="s">
        <v>2446</v>
      </c>
      <c r="B1013" s="36" t="s">
        <v>4242</v>
      </c>
      <c r="C1013" s="37" t="s">
        <v>4239</v>
      </c>
      <c r="D1013" s="37" t="s">
        <v>4240</v>
      </c>
      <c r="E1013" s="37"/>
      <c r="F1013" s="37" t="s">
        <v>4239</v>
      </c>
      <c r="G1013" s="37" t="s">
        <v>4240</v>
      </c>
      <c r="H1013" s="35"/>
      <c r="J1013" s="35"/>
      <c r="K1013" s="35"/>
      <c r="L1013" s="35"/>
      <c r="M1013" s="35"/>
      <c r="N1013" s="35"/>
      <c r="O1013" s="35"/>
      <c r="P1013" s="35"/>
      <c r="Q1013" s="35"/>
    </row>
    <row r="1014" spans="1:17">
      <c r="A1014" s="36" t="s">
        <v>2448</v>
      </c>
      <c r="B1014" s="36" t="s">
        <v>4243</v>
      </c>
      <c r="C1014" s="37" t="s">
        <v>2725</v>
      </c>
      <c r="D1014" s="37" t="s">
        <v>2724</v>
      </c>
      <c r="E1014" s="37"/>
      <c r="F1014" s="37" t="s">
        <v>2725</v>
      </c>
      <c r="G1014" s="37" t="s">
        <v>2724</v>
      </c>
      <c r="H1014" s="35"/>
      <c r="J1014" s="35"/>
      <c r="K1014" s="35"/>
      <c r="L1014" s="35"/>
      <c r="M1014" s="35"/>
      <c r="N1014" s="35"/>
      <c r="O1014" s="35"/>
      <c r="P1014" s="35"/>
      <c r="Q1014" s="35"/>
    </row>
    <row r="1015" spans="1:17">
      <c r="A1015" s="36" t="s">
        <v>2450</v>
      </c>
      <c r="B1015" s="36" t="s">
        <v>4244</v>
      </c>
      <c r="C1015" s="37" t="s">
        <v>2725</v>
      </c>
      <c r="D1015" s="37" t="s">
        <v>2724</v>
      </c>
      <c r="E1015" s="37"/>
      <c r="F1015" s="37" t="s">
        <v>2725</v>
      </c>
      <c r="G1015" s="37" t="s">
        <v>2724</v>
      </c>
      <c r="H1015" s="35"/>
      <c r="J1015" s="35"/>
      <c r="K1015" s="35"/>
      <c r="L1015" s="35"/>
      <c r="M1015" s="35"/>
      <c r="N1015" s="35"/>
      <c r="O1015" s="35"/>
      <c r="P1015" s="35"/>
      <c r="Q1015" s="35"/>
    </row>
    <row r="1016" spans="1:17">
      <c r="A1016" s="36" t="s">
        <v>2452</v>
      </c>
      <c r="B1016" s="36" t="s">
        <v>4245</v>
      </c>
      <c r="C1016" s="37" t="s">
        <v>2725</v>
      </c>
      <c r="D1016" s="37" t="s">
        <v>2724</v>
      </c>
      <c r="E1016" s="37"/>
      <c r="F1016" s="37" t="s">
        <v>2725</v>
      </c>
      <c r="G1016" s="37" t="s">
        <v>2724</v>
      </c>
      <c r="H1016" s="35"/>
      <c r="J1016" s="35"/>
      <c r="K1016" s="35"/>
      <c r="L1016" s="35"/>
      <c r="M1016" s="35"/>
      <c r="N1016" s="35"/>
      <c r="O1016" s="35"/>
      <c r="P1016" s="35"/>
      <c r="Q1016" s="35"/>
    </row>
    <row r="1017" spans="1:17">
      <c r="A1017" s="36" t="s">
        <v>2454</v>
      </c>
      <c r="B1017" s="36" t="s">
        <v>4246</v>
      </c>
      <c r="C1017" s="37" t="s">
        <v>4247</v>
      </c>
      <c r="D1017" s="37" t="s">
        <v>4248</v>
      </c>
      <c r="E1017" s="37"/>
      <c r="F1017" s="37" t="s">
        <v>4247</v>
      </c>
      <c r="G1017" s="37" t="s">
        <v>4248</v>
      </c>
      <c r="H1017" s="35"/>
      <c r="J1017" s="35"/>
      <c r="K1017" s="35"/>
      <c r="L1017" s="35"/>
      <c r="M1017" s="35"/>
      <c r="N1017" s="35"/>
      <c r="O1017" s="35"/>
      <c r="P1017" s="35"/>
      <c r="Q1017" s="35"/>
    </row>
    <row r="1018" spans="1:17">
      <c r="A1018" s="36" t="s">
        <v>2456</v>
      </c>
      <c r="B1018" s="36" t="s">
        <v>4249</v>
      </c>
      <c r="C1018" s="37" t="s">
        <v>4250</v>
      </c>
      <c r="D1018" s="37" t="s">
        <v>4251</v>
      </c>
      <c r="E1018" s="37"/>
      <c r="F1018" s="37" t="s">
        <v>4250</v>
      </c>
      <c r="G1018" s="37" t="s">
        <v>4251</v>
      </c>
      <c r="H1018" s="35"/>
      <c r="J1018" s="35"/>
      <c r="K1018" s="35"/>
      <c r="L1018" s="35"/>
      <c r="M1018" s="35"/>
      <c r="N1018" s="35"/>
      <c r="O1018" s="35"/>
      <c r="P1018" s="35"/>
      <c r="Q1018" s="35"/>
    </row>
    <row r="1019" spans="1:17">
      <c r="A1019" s="36" t="s">
        <v>2458</v>
      </c>
      <c r="B1019" s="36" t="s">
        <v>4252</v>
      </c>
      <c r="C1019" s="37" t="s">
        <v>2624</v>
      </c>
      <c r="D1019" s="37" t="s">
        <v>2623</v>
      </c>
      <c r="E1019" s="37"/>
      <c r="F1019" s="37" t="s">
        <v>2624</v>
      </c>
      <c r="G1019" s="37" t="s">
        <v>2623</v>
      </c>
      <c r="H1019" s="35"/>
      <c r="J1019" s="35"/>
      <c r="K1019" s="35"/>
      <c r="L1019" s="35"/>
      <c r="M1019" s="35"/>
      <c r="N1019" s="35"/>
      <c r="O1019" s="35"/>
      <c r="P1019" s="35"/>
      <c r="Q1019" s="35"/>
    </row>
    <row r="1020" spans="1:17">
      <c r="A1020" s="36" t="s">
        <v>2460</v>
      </c>
      <c r="B1020" s="36" t="s">
        <v>4253</v>
      </c>
      <c r="C1020" s="37" t="s">
        <v>2725</v>
      </c>
      <c r="D1020" s="37" t="s">
        <v>2724</v>
      </c>
      <c r="E1020" s="37"/>
      <c r="F1020" s="37" t="s">
        <v>2725</v>
      </c>
      <c r="G1020" s="37" t="s">
        <v>2724</v>
      </c>
      <c r="H1020" s="35"/>
      <c r="J1020" s="35"/>
      <c r="K1020" s="35"/>
      <c r="L1020" s="35"/>
      <c r="M1020" s="35"/>
      <c r="N1020" s="35"/>
      <c r="O1020" s="35"/>
      <c r="P1020" s="35"/>
      <c r="Q1020" s="35"/>
    </row>
    <row r="1021" spans="1:17">
      <c r="A1021" s="36" t="s">
        <v>2462</v>
      </c>
      <c r="B1021" s="36" t="s">
        <v>4254</v>
      </c>
      <c r="C1021" s="37" t="s">
        <v>2624</v>
      </c>
      <c r="D1021" s="37" t="s">
        <v>2623</v>
      </c>
      <c r="E1021" s="37"/>
      <c r="F1021" s="37" t="s">
        <v>2624</v>
      </c>
      <c r="G1021" s="37" t="s">
        <v>2623</v>
      </c>
      <c r="H1021" s="35"/>
      <c r="J1021" s="35"/>
      <c r="K1021" s="35"/>
      <c r="L1021" s="35"/>
      <c r="M1021" s="35"/>
      <c r="N1021" s="35"/>
      <c r="O1021" s="35"/>
      <c r="P1021" s="35"/>
      <c r="Q1021" s="35"/>
    </row>
    <row r="1022" spans="1:17">
      <c r="A1022" s="36" t="s">
        <v>2464</v>
      </c>
      <c r="B1022" s="36" t="s">
        <v>4255</v>
      </c>
      <c r="C1022" s="37" t="s">
        <v>2612</v>
      </c>
      <c r="D1022" s="37" t="s">
        <v>2611</v>
      </c>
      <c r="E1022" s="37"/>
      <c r="F1022" s="37" t="s">
        <v>4787</v>
      </c>
      <c r="G1022" s="37" t="s">
        <v>4786</v>
      </c>
      <c r="H1022" s="35"/>
      <c r="J1022" s="35"/>
      <c r="K1022" s="35"/>
      <c r="L1022" s="35"/>
      <c r="M1022" s="35"/>
      <c r="N1022" s="35"/>
      <c r="O1022" s="35"/>
      <c r="P1022" s="35"/>
      <c r="Q1022" s="35"/>
    </row>
    <row r="1023" spans="1:17">
      <c r="A1023" s="36" t="s">
        <v>4256</v>
      </c>
      <c r="B1023" s="36" t="s">
        <v>4257</v>
      </c>
      <c r="C1023" s="37"/>
      <c r="D1023" s="37"/>
      <c r="E1023" s="37"/>
      <c r="F1023" s="37"/>
      <c r="G1023" s="37"/>
      <c r="H1023" s="35"/>
      <c r="J1023" s="35"/>
      <c r="K1023" s="35"/>
      <c r="L1023" s="35"/>
      <c r="M1023" s="35"/>
      <c r="N1023" s="35"/>
      <c r="O1023" s="35"/>
      <c r="P1023" s="35"/>
      <c r="Q1023" s="35"/>
    </row>
    <row r="1024" spans="1:17">
      <c r="A1024" s="36" t="s">
        <v>2466</v>
      </c>
      <c r="B1024" s="36" t="s">
        <v>4258</v>
      </c>
      <c r="C1024" s="37" t="s">
        <v>2752</v>
      </c>
      <c r="D1024" s="37" t="s">
        <v>2751</v>
      </c>
      <c r="E1024" s="37"/>
      <c r="F1024" s="37" t="s">
        <v>2752</v>
      </c>
      <c r="G1024" s="37" t="s">
        <v>2751</v>
      </c>
      <c r="H1024" s="35"/>
      <c r="J1024" s="35"/>
      <c r="K1024" s="35"/>
      <c r="L1024" s="35"/>
      <c r="M1024" s="35"/>
      <c r="N1024" s="35"/>
      <c r="O1024" s="35"/>
      <c r="P1024" s="35"/>
      <c r="Q1024" s="35"/>
    </row>
    <row r="1025" spans="1:17">
      <c r="A1025" s="36" t="s">
        <v>4259</v>
      </c>
      <c r="B1025" s="36" t="s">
        <v>4260</v>
      </c>
      <c r="C1025" s="37"/>
      <c r="D1025" s="37"/>
      <c r="E1025" s="37"/>
      <c r="F1025" s="37"/>
      <c r="G1025" s="37"/>
      <c r="H1025" s="35"/>
      <c r="J1025" s="35"/>
      <c r="K1025" s="35"/>
      <c r="L1025" s="35"/>
      <c r="M1025" s="35"/>
      <c r="N1025" s="35"/>
      <c r="O1025" s="35"/>
      <c r="P1025" s="35"/>
      <c r="Q1025" s="35"/>
    </row>
    <row r="1026" spans="1:17">
      <c r="A1026" s="36" t="s">
        <v>2468</v>
      </c>
      <c r="B1026" s="36" t="s">
        <v>4261</v>
      </c>
      <c r="C1026" s="37" t="s">
        <v>4262</v>
      </c>
      <c r="D1026" s="37" t="s">
        <v>4263</v>
      </c>
      <c r="E1026" s="37"/>
      <c r="F1026" s="37" t="s">
        <v>4262</v>
      </c>
      <c r="G1026" s="37" t="s">
        <v>4263</v>
      </c>
      <c r="H1026" s="35"/>
      <c r="J1026" s="35"/>
      <c r="K1026" s="35"/>
      <c r="L1026" s="35"/>
      <c r="M1026" s="35"/>
      <c r="N1026" s="35"/>
      <c r="O1026" s="35"/>
      <c r="P1026" s="35"/>
      <c r="Q1026" s="35"/>
    </row>
    <row r="1027" spans="1:17">
      <c r="A1027" s="36" t="s">
        <v>2470</v>
      </c>
      <c r="B1027" s="36" t="s">
        <v>4264</v>
      </c>
      <c r="C1027" s="37" t="s">
        <v>4265</v>
      </c>
      <c r="D1027" s="37" t="s">
        <v>4266</v>
      </c>
      <c r="E1027" s="37"/>
      <c r="F1027" s="37" t="s">
        <v>4265</v>
      </c>
      <c r="G1027" s="37" t="s">
        <v>4266</v>
      </c>
      <c r="H1027" s="35"/>
      <c r="J1027" s="35"/>
      <c r="K1027" s="35"/>
      <c r="L1027" s="35"/>
      <c r="M1027" s="35"/>
      <c r="N1027" s="35"/>
      <c r="O1027" s="35"/>
      <c r="P1027" s="35"/>
      <c r="Q1027" s="35"/>
    </row>
    <row r="1028" spans="1:17">
      <c r="A1028" s="36" t="s">
        <v>2472</v>
      </c>
      <c r="B1028" s="36" t="s">
        <v>4267</v>
      </c>
      <c r="C1028" s="37" t="s">
        <v>4265</v>
      </c>
      <c r="D1028" s="37" t="s">
        <v>4266</v>
      </c>
      <c r="E1028" s="37"/>
      <c r="F1028" s="37" t="s">
        <v>4265</v>
      </c>
      <c r="G1028" s="37" t="s">
        <v>4266</v>
      </c>
      <c r="H1028" s="35"/>
      <c r="J1028" s="35"/>
      <c r="K1028" s="35"/>
      <c r="L1028" s="35"/>
      <c r="M1028" s="35"/>
      <c r="N1028" s="35"/>
      <c r="O1028" s="35"/>
      <c r="P1028" s="35"/>
      <c r="Q1028" s="35"/>
    </row>
    <row r="1029" spans="1:17">
      <c r="A1029" s="36" t="s">
        <v>2474</v>
      </c>
      <c r="B1029" s="36" t="s">
        <v>4268</v>
      </c>
      <c r="C1029" s="37" t="s">
        <v>4265</v>
      </c>
      <c r="D1029" s="37" t="s">
        <v>4266</v>
      </c>
      <c r="E1029" s="37"/>
      <c r="F1029" s="37" t="s">
        <v>4265</v>
      </c>
      <c r="G1029" s="37" t="s">
        <v>4266</v>
      </c>
      <c r="H1029" s="35"/>
      <c r="J1029" s="35"/>
      <c r="K1029" s="35"/>
      <c r="L1029" s="35"/>
      <c r="M1029" s="35"/>
      <c r="N1029" s="35"/>
      <c r="O1029" s="35"/>
      <c r="P1029" s="35"/>
      <c r="Q1029" s="35"/>
    </row>
    <row r="1030" spans="1:17">
      <c r="A1030" s="36" t="s">
        <v>2476</v>
      </c>
      <c r="B1030" s="36" t="s">
        <v>4269</v>
      </c>
      <c r="C1030" s="37" t="s">
        <v>4265</v>
      </c>
      <c r="D1030" s="37" t="s">
        <v>4266</v>
      </c>
      <c r="E1030" s="37"/>
      <c r="F1030" s="37" t="s">
        <v>4265</v>
      </c>
      <c r="G1030" s="37" t="s">
        <v>4266</v>
      </c>
      <c r="H1030" s="35"/>
      <c r="J1030" s="35"/>
      <c r="K1030" s="35"/>
      <c r="L1030" s="35"/>
      <c r="M1030" s="35"/>
      <c r="N1030" s="35"/>
      <c r="O1030" s="35"/>
      <c r="P1030" s="35"/>
      <c r="Q1030" s="35"/>
    </row>
    <row r="1031" spans="1:17">
      <c r="A1031" s="36" t="s">
        <v>2478</v>
      </c>
      <c r="B1031" s="36" t="s">
        <v>4270</v>
      </c>
      <c r="C1031" s="37" t="s">
        <v>4265</v>
      </c>
      <c r="D1031" s="37" t="s">
        <v>4266</v>
      </c>
      <c r="E1031" s="37"/>
      <c r="F1031" s="37" t="s">
        <v>4265</v>
      </c>
      <c r="G1031" s="37" t="s">
        <v>4266</v>
      </c>
      <c r="H1031" s="35"/>
      <c r="J1031" s="35"/>
      <c r="K1031" s="35"/>
      <c r="L1031" s="35"/>
      <c r="M1031" s="35"/>
      <c r="N1031" s="35"/>
      <c r="O1031" s="35"/>
      <c r="P1031" s="35"/>
      <c r="Q1031" s="35"/>
    </row>
    <row r="1032" spans="1:17">
      <c r="A1032" s="36" t="s">
        <v>2480</v>
      </c>
      <c r="B1032" s="36" t="s">
        <v>4271</v>
      </c>
      <c r="C1032" s="37" t="s">
        <v>4265</v>
      </c>
      <c r="D1032" s="37" t="s">
        <v>4266</v>
      </c>
      <c r="E1032" s="37"/>
      <c r="F1032" s="37" t="s">
        <v>4265</v>
      </c>
      <c r="G1032" s="37" t="s">
        <v>4266</v>
      </c>
      <c r="H1032" s="35"/>
      <c r="J1032" s="35"/>
      <c r="K1032" s="35"/>
      <c r="L1032" s="35"/>
      <c r="M1032" s="35"/>
      <c r="N1032" s="35"/>
      <c r="O1032" s="35"/>
      <c r="P1032" s="35"/>
      <c r="Q1032" s="35"/>
    </row>
    <row r="1033" spans="1:17">
      <c r="A1033" s="36" t="s">
        <v>2482</v>
      </c>
      <c r="B1033" s="36" t="s">
        <v>4272</v>
      </c>
      <c r="C1033" s="37" t="s">
        <v>4265</v>
      </c>
      <c r="D1033" s="37" t="s">
        <v>4266</v>
      </c>
      <c r="E1033" s="37"/>
      <c r="F1033" s="37" t="s">
        <v>4265</v>
      </c>
      <c r="G1033" s="37" t="s">
        <v>4266</v>
      </c>
      <c r="H1033" s="35"/>
      <c r="J1033" s="35"/>
      <c r="K1033" s="35"/>
      <c r="L1033" s="35"/>
      <c r="M1033" s="35"/>
      <c r="N1033" s="35"/>
      <c r="O1033" s="35"/>
      <c r="P1033" s="35"/>
      <c r="Q1033" s="35"/>
    </row>
    <row r="1034" spans="1:17">
      <c r="A1034" s="36" t="s">
        <v>4273</v>
      </c>
      <c r="B1034" s="36" t="s">
        <v>4274</v>
      </c>
      <c r="C1034" s="37"/>
      <c r="D1034" s="37"/>
      <c r="E1034" s="37"/>
      <c r="F1034" s="37"/>
      <c r="G1034" s="37"/>
      <c r="H1034" s="35"/>
      <c r="J1034" s="35"/>
      <c r="K1034" s="35"/>
      <c r="L1034" s="35"/>
      <c r="M1034" s="35"/>
      <c r="N1034" s="35"/>
      <c r="O1034" s="35"/>
      <c r="P1034" s="35"/>
      <c r="Q1034" s="35"/>
    </row>
    <row r="1035" spans="1:17">
      <c r="A1035" s="36" t="s">
        <v>2484</v>
      </c>
      <c r="B1035" s="36" t="s">
        <v>4275</v>
      </c>
      <c r="C1035" s="37" t="s">
        <v>4276</v>
      </c>
      <c r="D1035" s="37" t="s">
        <v>4277</v>
      </c>
      <c r="E1035" s="37"/>
      <c r="F1035" s="37" t="s">
        <v>4276</v>
      </c>
      <c r="G1035" s="37" t="s">
        <v>4277</v>
      </c>
      <c r="H1035" s="35"/>
      <c r="J1035" s="35"/>
      <c r="K1035" s="35"/>
      <c r="L1035" s="35"/>
      <c r="M1035" s="35"/>
      <c r="N1035" s="35"/>
      <c r="O1035" s="35"/>
      <c r="P1035" s="35"/>
      <c r="Q1035" s="35"/>
    </row>
    <row r="1036" spans="1:17">
      <c r="A1036" s="36" t="s">
        <v>2486</v>
      </c>
      <c r="B1036" s="36" t="s">
        <v>4278</v>
      </c>
      <c r="C1036" s="37" t="s">
        <v>4279</v>
      </c>
      <c r="D1036" s="37" t="s">
        <v>4280</v>
      </c>
      <c r="E1036" s="37"/>
      <c r="F1036" s="37" t="s">
        <v>4279</v>
      </c>
      <c r="G1036" s="37" t="s">
        <v>4280</v>
      </c>
      <c r="H1036" s="35"/>
      <c r="J1036" s="35"/>
      <c r="K1036" s="35"/>
      <c r="L1036" s="35"/>
      <c r="M1036" s="35"/>
      <c r="N1036" s="35"/>
      <c r="O1036" s="35"/>
      <c r="P1036" s="35"/>
      <c r="Q1036" s="35"/>
    </row>
    <row r="1037" spans="1:17">
      <c r="A1037" s="36" t="s">
        <v>2488</v>
      </c>
      <c r="B1037" s="36" t="s">
        <v>4281</v>
      </c>
      <c r="C1037" s="37" t="s">
        <v>4262</v>
      </c>
      <c r="D1037" s="37" t="s">
        <v>4263</v>
      </c>
      <c r="E1037" s="37"/>
      <c r="F1037" s="37" t="s">
        <v>4262</v>
      </c>
      <c r="G1037" s="37" t="s">
        <v>4263</v>
      </c>
      <c r="H1037" s="35"/>
      <c r="J1037" s="35"/>
      <c r="K1037" s="35"/>
      <c r="L1037" s="35"/>
      <c r="M1037" s="35"/>
      <c r="N1037" s="35"/>
      <c r="O1037" s="35"/>
      <c r="P1037" s="35"/>
      <c r="Q1037" s="35"/>
    </row>
    <row r="1038" spans="1:17">
      <c r="A1038" s="36" t="s">
        <v>2490</v>
      </c>
      <c r="B1038" s="36" t="s">
        <v>4282</v>
      </c>
      <c r="C1038" s="37" t="s">
        <v>4276</v>
      </c>
      <c r="D1038" s="37" t="s">
        <v>4277</v>
      </c>
      <c r="E1038" s="37"/>
      <c r="F1038" s="37" t="s">
        <v>4276</v>
      </c>
      <c r="G1038" s="37" t="s">
        <v>4277</v>
      </c>
      <c r="H1038" s="35"/>
      <c r="J1038" s="35"/>
      <c r="K1038" s="35"/>
      <c r="L1038" s="35"/>
      <c r="M1038" s="35"/>
      <c r="N1038" s="35"/>
      <c r="O1038" s="35"/>
      <c r="P1038" s="35"/>
      <c r="Q1038" s="35"/>
    </row>
    <row r="1039" spans="1:17">
      <c r="A1039" s="36" t="s">
        <v>2492</v>
      </c>
      <c r="B1039" s="36" t="s">
        <v>4283</v>
      </c>
      <c r="C1039" s="37" t="s">
        <v>2612</v>
      </c>
      <c r="D1039" s="37" t="s">
        <v>2611</v>
      </c>
      <c r="E1039" s="37"/>
      <c r="F1039" s="37" t="s">
        <v>4787</v>
      </c>
      <c r="G1039" s="37" t="s">
        <v>4786</v>
      </c>
      <c r="H1039" s="35"/>
      <c r="J1039" s="35"/>
      <c r="K1039" s="35"/>
      <c r="L1039" s="35"/>
      <c r="M1039" s="35"/>
      <c r="N1039" s="35"/>
      <c r="O1039" s="35"/>
      <c r="P1039" s="35"/>
      <c r="Q1039" s="35"/>
    </row>
    <row r="1040" spans="1:17">
      <c r="A1040" s="36" t="s">
        <v>4284</v>
      </c>
      <c r="B1040" s="36" t="s">
        <v>4285</v>
      </c>
      <c r="C1040" s="37"/>
      <c r="D1040" s="37"/>
      <c r="E1040" s="37"/>
      <c r="F1040" s="37"/>
      <c r="G1040" s="37"/>
      <c r="H1040" s="35"/>
      <c r="J1040" s="35"/>
      <c r="K1040" s="35"/>
      <c r="L1040" s="35"/>
      <c r="M1040" s="35"/>
      <c r="N1040" s="35"/>
      <c r="O1040" s="35"/>
      <c r="P1040" s="35"/>
      <c r="Q1040" s="35"/>
    </row>
    <row r="1041" spans="1:17">
      <c r="A1041" s="36" t="s">
        <v>2494</v>
      </c>
      <c r="B1041" s="36" t="s">
        <v>4286</v>
      </c>
      <c r="C1041" s="37" t="s">
        <v>4081</v>
      </c>
      <c r="D1041" s="37" t="s">
        <v>4082</v>
      </c>
      <c r="E1041" s="37"/>
      <c r="F1041" s="37" t="s">
        <v>4081</v>
      </c>
      <c r="G1041" s="37" t="s">
        <v>4082</v>
      </c>
      <c r="H1041" s="35"/>
      <c r="J1041" s="35"/>
      <c r="K1041" s="35"/>
      <c r="L1041" s="35"/>
      <c r="M1041" s="35"/>
      <c r="N1041" s="35"/>
      <c r="O1041" s="35"/>
      <c r="P1041" s="35"/>
      <c r="Q1041" s="35"/>
    </row>
    <row r="1042" spans="1:17">
      <c r="A1042" s="36" t="s">
        <v>2496</v>
      </c>
      <c r="B1042" s="36" t="s">
        <v>4287</v>
      </c>
      <c r="C1042" s="37" t="s">
        <v>2705</v>
      </c>
      <c r="D1042" s="37" t="s">
        <v>2706</v>
      </c>
      <c r="E1042" s="37"/>
      <c r="F1042" s="37" t="s">
        <v>2705</v>
      </c>
      <c r="G1042" s="37" t="s">
        <v>2706</v>
      </c>
      <c r="H1042" s="35"/>
      <c r="J1042" s="35"/>
      <c r="K1042" s="35"/>
      <c r="L1042" s="35"/>
      <c r="M1042" s="35"/>
      <c r="N1042" s="35"/>
      <c r="O1042" s="35"/>
      <c r="P1042" s="35"/>
      <c r="Q1042" s="35"/>
    </row>
    <row r="1043" spans="1:17">
      <c r="A1043" s="36" t="s">
        <v>4288</v>
      </c>
      <c r="B1043" s="36" t="s">
        <v>4289</v>
      </c>
      <c r="C1043" s="37"/>
      <c r="D1043" s="37"/>
      <c r="E1043" s="37"/>
      <c r="F1043" s="37"/>
      <c r="G1043" s="37"/>
      <c r="H1043" s="35"/>
      <c r="J1043" s="35"/>
      <c r="K1043" s="35"/>
      <c r="L1043" s="35"/>
      <c r="M1043" s="35"/>
      <c r="N1043" s="35"/>
      <c r="O1043" s="35"/>
      <c r="P1043" s="35"/>
      <c r="Q1043" s="35"/>
    </row>
    <row r="1044" spans="1:17">
      <c r="A1044" s="36" t="s">
        <v>2498</v>
      </c>
      <c r="B1044" s="36" t="s">
        <v>4290</v>
      </c>
      <c r="C1044" s="37" t="s">
        <v>2612</v>
      </c>
      <c r="D1044" s="37" t="s">
        <v>2611</v>
      </c>
      <c r="E1044" s="37"/>
      <c r="F1044" s="37" t="s">
        <v>4787</v>
      </c>
      <c r="G1044" s="37" t="s">
        <v>4786</v>
      </c>
      <c r="H1044" s="35"/>
      <c r="J1044" s="35"/>
      <c r="K1044" s="35"/>
      <c r="L1044" s="35"/>
      <c r="M1044" s="35"/>
      <c r="N1044" s="35"/>
      <c r="O1044" s="35"/>
      <c r="P1044" s="35"/>
      <c r="Q1044" s="35"/>
    </row>
    <row r="1045" spans="1:17">
      <c r="A1045" s="36" t="s">
        <v>2500</v>
      </c>
      <c r="B1045" s="36" t="s">
        <v>4291</v>
      </c>
      <c r="C1045" s="37" t="s">
        <v>2612</v>
      </c>
      <c r="D1045" s="37" t="s">
        <v>2611</v>
      </c>
      <c r="E1045" s="37"/>
      <c r="F1045" s="37" t="s">
        <v>4787</v>
      </c>
      <c r="G1045" s="37" t="s">
        <v>4786</v>
      </c>
      <c r="H1045" s="35"/>
      <c r="J1045" s="35"/>
      <c r="K1045" s="35"/>
      <c r="L1045" s="35"/>
      <c r="M1045" s="35"/>
      <c r="N1045" s="35"/>
      <c r="O1045" s="35"/>
      <c r="P1045" s="35"/>
      <c r="Q1045" s="35"/>
    </row>
    <row r="1046" spans="1:17">
      <c r="A1046" s="36" t="s">
        <v>2502</v>
      </c>
      <c r="B1046" s="36" t="s">
        <v>4292</v>
      </c>
      <c r="C1046" s="37" t="s">
        <v>2612</v>
      </c>
      <c r="D1046" s="37" t="s">
        <v>2611</v>
      </c>
      <c r="E1046" s="37"/>
      <c r="F1046" s="37" t="s">
        <v>4787</v>
      </c>
      <c r="G1046" s="37" t="s">
        <v>4786</v>
      </c>
      <c r="H1046" s="35"/>
      <c r="J1046" s="35"/>
      <c r="K1046" s="35"/>
      <c r="L1046" s="35"/>
      <c r="M1046" s="35"/>
      <c r="N1046" s="35"/>
      <c r="O1046" s="35"/>
      <c r="P1046" s="35"/>
      <c r="Q1046" s="35"/>
    </row>
    <row r="1047" spans="1:17">
      <c r="A1047" s="36" t="s">
        <v>2504</v>
      </c>
      <c r="B1047" s="36" t="s">
        <v>4293</v>
      </c>
      <c r="C1047" s="37" t="s">
        <v>2612</v>
      </c>
      <c r="D1047" s="37" t="s">
        <v>2611</v>
      </c>
      <c r="E1047" s="37"/>
      <c r="F1047" s="37" t="s">
        <v>4787</v>
      </c>
      <c r="G1047" s="37" t="s">
        <v>4786</v>
      </c>
      <c r="H1047" s="35"/>
      <c r="J1047" s="35"/>
      <c r="K1047" s="35"/>
      <c r="L1047" s="35"/>
      <c r="M1047" s="35"/>
      <c r="N1047" s="35"/>
      <c r="O1047" s="35"/>
      <c r="P1047" s="35"/>
      <c r="Q1047" s="35"/>
    </row>
    <row r="1048" spans="1:17">
      <c r="A1048" s="36" t="s">
        <v>2506</v>
      </c>
      <c r="B1048" s="36" t="s">
        <v>4294</v>
      </c>
      <c r="C1048" s="37" t="s">
        <v>2612</v>
      </c>
      <c r="D1048" s="37" t="s">
        <v>2611</v>
      </c>
      <c r="E1048" s="37"/>
      <c r="F1048" s="37" t="s">
        <v>4787</v>
      </c>
      <c r="G1048" s="37" t="s">
        <v>4786</v>
      </c>
      <c r="H1048" s="35"/>
      <c r="J1048" s="35"/>
      <c r="K1048" s="35"/>
      <c r="L1048" s="35"/>
      <c r="M1048" s="35"/>
      <c r="N1048" s="35"/>
      <c r="O1048" s="35"/>
      <c r="P1048" s="35"/>
      <c r="Q1048" s="35"/>
    </row>
    <row r="1049" spans="1:17">
      <c r="A1049" s="36" t="s">
        <v>2508</v>
      </c>
      <c r="B1049" s="36" t="s">
        <v>4295</v>
      </c>
      <c r="C1049" s="37" t="s">
        <v>2612</v>
      </c>
      <c r="D1049" s="37" t="s">
        <v>2611</v>
      </c>
      <c r="E1049" s="37"/>
      <c r="F1049" s="37" t="s">
        <v>4787</v>
      </c>
      <c r="G1049" s="37" t="s">
        <v>4786</v>
      </c>
      <c r="H1049" s="35"/>
      <c r="J1049" s="35"/>
      <c r="K1049" s="35"/>
      <c r="L1049" s="35"/>
      <c r="M1049" s="35"/>
      <c r="N1049" s="35"/>
      <c r="O1049" s="35"/>
      <c r="P1049" s="35"/>
      <c r="Q1049" s="35"/>
    </row>
    <row r="1050" spans="1:17">
      <c r="A1050" s="36" t="s">
        <v>2510</v>
      </c>
      <c r="B1050" s="36" t="s">
        <v>4296</v>
      </c>
      <c r="C1050" s="37" t="s">
        <v>2612</v>
      </c>
      <c r="D1050" s="37" t="s">
        <v>2611</v>
      </c>
      <c r="E1050" s="37"/>
      <c r="F1050" s="37" t="s">
        <v>4787</v>
      </c>
      <c r="G1050" s="37" t="s">
        <v>4786</v>
      </c>
      <c r="H1050" s="35"/>
      <c r="J1050" s="35"/>
      <c r="K1050" s="35"/>
      <c r="L1050" s="35"/>
      <c r="M1050" s="35"/>
      <c r="N1050" s="35"/>
      <c r="O1050" s="35"/>
      <c r="P1050" s="35"/>
      <c r="Q1050" s="35"/>
    </row>
    <row r="1051" spans="1:17">
      <c r="A1051" s="36" t="s">
        <v>4297</v>
      </c>
      <c r="B1051" s="36" t="s">
        <v>4298</v>
      </c>
      <c r="C1051" s="37"/>
      <c r="D1051" s="37"/>
      <c r="E1051" s="37"/>
      <c r="F1051" s="37"/>
      <c r="G1051" s="37"/>
      <c r="H1051" s="35"/>
      <c r="J1051" s="35"/>
      <c r="K1051" s="35"/>
      <c r="L1051" s="35"/>
      <c r="M1051" s="35"/>
      <c r="N1051" s="35"/>
      <c r="O1051" s="35"/>
      <c r="P1051" s="35"/>
      <c r="Q1051" s="35"/>
    </row>
    <row r="1052" spans="1:17">
      <c r="A1052" s="36" t="s">
        <v>2512</v>
      </c>
      <c r="B1052" s="36" t="s">
        <v>4299</v>
      </c>
      <c r="C1052" s="37" t="s">
        <v>2612</v>
      </c>
      <c r="D1052" s="37" t="s">
        <v>2611</v>
      </c>
      <c r="E1052" s="37"/>
      <c r="F1052" s="37" t="s">
        <v>4787</v>
      </c>
      <c r="G1052" s="37" t="s">
        <v>4786</v>
      </c>
      <c r="H1052" s="35"/>
      <c r="J1052" s="35"/>
      <c r="K1052" s="35"/>
      <c r="L1052" s="35"/>
      <c r="M1052" s="35"/>
      <c r="N1052" s="35"/>
      <c r="O1052" s="35"/>
      <c r="P1052" s="35"/>
      <c r="Q1052" s="35"/>
    </row>
    <row r="1053" spans="1:17">
      <c r="A1053" s="36" t="s">
        <v>2514</v>
      </c>
      <c r="B1053" s="36" t="s">
        <v>4300</v>
      </c>
      <c r="C1053" s="37" t="s">
        <v>4301</v>
      </c>
      <c r="D1053" s="37" t="s">
        <v>4302</v>
      </c>
      <c r="E1053" s="37"/>
      <c r="F1053" s="37" t="s">
        <v>4301</v>
      </c>
      <c r="G1053" s="37" t="s">
        <v>4302</v>
      </c>
      <c r="H1053" s="35"/>
      <c r="J1053" s="35"/>
      <c r="K1053" s="35"/>
      <c r="L1053" s="35"/>
      <c r="M1053" s="35"/>
      <c r="N1053" s="35"/>
      <c r="O1053" s="35"/>
      <c r="P1053" s="35"/>
      <c r="Q1053" s="35"/>
    </row>
    <row r="1054" spans="1:17">
      <c r="A1054" s="36" t="s">
        <v>2516</v>
      </c>
      <c r="B1054" s="36" t="s">
        <v>4303</v>
      </c>
      <c r="C1054" s="37" t="s">
        <v>2884</v>
      </c>
      <c r="D1054" s="37" t="s">
        <v>2885</v>
      </c>
      <c r="E1054" s="37"/>
      <c r="F1054" s="37" t="s">
        <v>2884</v>
      </c>
      <c r="G1054" s="37" t="s">
        <v>2885</v>
      </c>
      <c r="H1054" s="35"/>
      <c r="J1054" s="35"/>
      <c r="K1054" s="35"/>
      <c r="L1054" s="35"/>
      <c r="M1054" s="35"/>
      <c r="N1054" s="35"/>
      <c r="O1054" s="35"/>
      <c r="P1054" s="35"/>
      <c r="Q1054" s="35"/>
    </row>
    <row r="1055" spans="1:17">
      <c r="A1055" s="36" t="s">
        <v>2518</v>
      </c>
      <c r="B1055" s="36" t="s">
        <v>4304</v>
      </c>
      <c r="C1055" s="37" t="s">
        <v>4094</v>
      </c>
      <c r="D1055" s="37" t="s">
        <v>4095</v>
      </c>
      <c r="E1055" s="37"/>
      <c r="F1055" s="37" t="s">
        <v>4094</v>
      </c>
      <c r="G1055" s="37" t="s">
        <v>4095</v>
      </c>
      <c r="H1055" s="35"/>
      <c r="J1055" s="35"/>
      <c r="K1055" s="35"/>
      <c r="L1055" s="35"/>
      <c r="M1055" s="35"/>
      <c r="N1055" s="35"/>
      <c r="O1055" s="35"/>
      <c r="P1055" s="35"/>
      <c r="Q1055" s="35"/>
    </row>
    <row r="1056" spans="1:17">
      <c r="A1056" s="36" t="s">
        <v>2520</v>
      </c>
      <c r="B1056" s="36" t="s">
        <v>4305</v>
      </c>
      <c r="C1056" s="37" t="s">
        <v>4247</v>
      </c>
      <c r="D1056" s="37" t="s">
        <v>4248</v>
      </c>
      <c r="E1056" s="37"/>
      <c r="F1056" s="37" t="s">
        <v>4247</v>
      </c>
      <c r="G1056" s="37" t="s">
        <v>4248</v>
      </c>
      <c r="H1056" s="35"/>
      <c r="J1056" s="35"/>
      <c r="K1056" s="35"/>
      <c r="L1056" s="35"/>
      <c r="M1056" s="35"/>
      <c r="N1056" s="35"/>
      <c r="O1056" s="35"/>
      <c r="P1056" s="35"/>
      <c r="Q1056" s="35"/>
    </row>
    <row r="1057" spans="1:17">
      <c r="A1057" s="36" t="s">
        <v>2522</v>
      </c>
      <c r="B1057" s="36" t="s">
        <v>4306</v>
      </c>
      <c r="C1057" s="37" t="s">
        <v>2612</v>
      </c>
      <c r="D1057" s="37" t="s">
        <v>2611</v>
      </c>
      <c r="E1057" s="37"/>
      <c r="F1057" s="37" t="s">
        <v>4787</v>
      </c>
      <c r="G1057" s="37" t="s">
        <v>4786</v>
      </c>
      <c r="H1057" s="35"/>
      <c r="J1057" s="35"/>
      <c r="K1057" s="35"/>
      <c r="L1057" s="35"/>
      <c r="M1057" s="35"/>
      <c r="N1057" s="35"/>
      <c r="O1057" s="35"/>
      <c r="P1057" s="35"/>
      <c r="Q1057" s="35"/>
    </row>
    <row r="1058" spans="1:17">
      <c r="A1058" s="36" t="s">
        <v>2524</v>
      </c>
      <c r="B1058" s="36" t="s">
        <v>4307</v>
      </c>
      <c r="C1058" s="37" t="s">
        <v>2612</v>
      </c>
      <c r="D1058" s="37" t="s">
        <v>2611</v>
      </c>
      <c r="E1058" s="37"/>
      <c r="F1058" s="37" t="s">
        <v>4787</v>
      </c>
      <c r="G1058" s="37" t="s">
        <v>4786</v>
      </c>
      <c r="H1058" s="35"/>
      <c r="J1058" s="35"/>
      <c r="K1058" s="35"/>
      <c r="L1058" s="35"/>
      <c r="M1058" s="35"/>
      <c r="N1058" s="35"/>
      <c r="O1058" s="35"/>
      <c r="P1058" s="35"/>
      <c r="Q1058" s="35"/>
    </row>
    <row r="1059" spans="1:17">
      <c r="A1059" s="36" t="s">
        <v>2526</v>
      </c>
      <c r="B1059" s="36" t="s">
        <v>4308</v>
      </c>
      <c r="C1059" s="37" t="s">
        <v>4247</v>
      </c>
      <c r="D1059" s="37" t="s">
        <v>4248</v>
      </c>
      <c r="E1059" s="37"/>
      <c r="F1059" s="37" t="s">
        <v>4247</v>
      </c>
      <c r="G1059" s="37" t="s">
        <v>4248</v>
      </c>
      <c r="H1059" s="35"/>
      <c r="J1059" s="35"/>
      <c r="K1059" s="35"/>
      <c r="L1059" s="35"/>
      <c r="M1059" s="35"/>
      <c r="N1059" s="35"/>
      <c r="O1059" s="35"/>
      <c r="P1059" s="35"/>
      <c r="Q1059" s="35"/>
    </row>
    <row r="1060" spans="1:17">
      <c r="A1060" s="36" t="s">
        <v>2528</v>
      </c>
      <c r="B1060" s="36" t="s">
        <v>4309</v>
      </c>
      <c r="C1060" s="37" t="s">
        <v>2767</v>
      </c>
      <c r="D1060" s="37" t="s">
        <v>2766</v>
      </c>
      <c r="E1060" s="37"/>
      <c r="F1060" s="37" t="s">
        <v>2767</v>
      </c>
      <c r="G1060" s="37" t="s">
        <v>2766</v>
      </c>
      <c r="H1060" s="35"/>
      <c r="J1060" s="35"/>
      <c r="K1060" s="35"/>
      <c r="L1060" s="35"/>
      <c r="M1060" s="35"/>
      <c r="N1060" s="35"/>
      <c r="O1060" s="35"/>
      <c r="P1060" s="35"/>
      <c r="Q1060" s="35"/>
    </row>
    <row r="1061" spans="1:17">
      <c r="A1061" s="36" t="s">
        <v>2530</v>
      </c>
      <c r="B1061" s="36" t="s">
        <v>4310</v>
      </c>
      <c r="C1061" s="37" t="s">
        <v>2767</v>
      </c>
      <c r="D1061" s="37" t="s">
        <v>2766</v>
      </c>
      <c r="E1061" s="37"/>
      <c r="F1061" s="37" t="s">
        <v>2767</v>
      </c>
      <c r="G1061" s="37" t="s">
        <v>2766</v>
      </c>
      <c r="H1061" s="35"/>
      <c r="J1061" s="35"/>
      <c r="K1061" s="35"/>
      <c r="L1061" s="35"/>
      <c r="M1061" s="35"/>
      <c r="N1061" s="35"/>
      <c r="O1061" s="35"/>
      <c r="P1061" s="35"/>
      <c r="Q1061" s="35"/>
    </row>
    <row r="1062" spans="1:17">
      <c r="A1062" s="36" t="s">
        <v>2532</v>
      </c>
      <c r="B1062" s="36" t="s">
        <v>4311</v>
      </c>
      <c r="C1062" s="37" t="s">
        <v>4312</v>
      </c>
      <c r="D1062" s="37" t="s">
        <v>4313</v>
      </c>
      <c r="E1062" s="37"/>
      <c r="F1062" s="37" t="s">
        <v>4312</v>
      </c>
      <c r="G1062" s="37" t="s">
        <v>4313</v>
      </c>
      <c r="H1062" s="35"/>
      <c r="J1062" s="35"/>
      <c r="K1062" s="35"/>
      <c r="L1062" s="35"/>
      <c r="M1062" s="35"/>
      <c r="N1062" s="35"/>
      <c r="O1062" s="35"/>
      <c r="P1062" s="35"/>
      <c r="Q1062" s="35"/>
    </row>
    <row r="1063" spans="1:17">
      <c r="A1063" s="36" t="s">
        <v>2534</v>
      </c>
      <c r="B1063" s="36" t="s">
        <v>4314</v>
      </c>
      <c r="C1063" s="37" t="s">
        <v>2612</v>
      </c>
      <c r="D1063" s="37" t="s">
        <v>2611</v>
      </c>
      <c r="E1063" s="37"/>
      <c r="F1063" s="37" t="s">
        <v>4787</v>
      </c>
      <c r="G1063" s="37" t="s">
        <v>4786</v>
      </c>
      <c r="H1063" s="35"/>
      <c r="J1063" s="35"/>
      <c r="K1063" s="35"/>
      <c r="L1063" s="35"/>
      <c r="M1063" s="35"/>
      <c r="N1063" s="35"/>
      <c r="O1063" s="35"/>
      <c r="P1063" s="35"/>
      <c r="Q1063" s="35"/>
    </row>
    <row r="1064" spans="1:17">
      <c r="A1064" s="36" t="s">
        <v>2536</v>
      </c>
      <c r="B1064" s="36" t="s">
        <v>4315</v>
      </c>
      <c r="C1064" s="37" t="s">
        <v>2612</v>
      </c>
      <c r="D1064" s="37" t="s">
        <v>2611</v>
      </c>
      <c r="E1064" s="37"/>
      <c r="F1064" s="37" t="s">
        <v>4787</v>
      </c>
      <c r="G1064" s="37" t="s">
        <v>4786</v>
      </c>
      <c r="H1064" s="35"/>
      <c r="J1064" s="35"/>
      <c r="K1064" s="35"/>
      <c r="L1064" s="35"/>
      <c r="M1064" s="35"/>
      <c r="N1064" s="35"/>
      <c r="O1064" s="35"/>
      <c r="P1064" s="35"/>
      <c r="Q1064" s="35"/>
    </row>
    <row r="1065" spans="1:17">
      <c r="A1065" s="36" t="s">
        <v>4316</v>
      </c>
      <c r="B1065" s="36" t="s">
        <v>4317</v>
      </c>
      <c r="C1065" s="37"/>
      <c r="D1065" s="37"/>
      <c r="E1065" s="37"/>
      <c r="F1065" s="37"/>
      <c r="G1065" s="37"/>
      <c r="H1065" s="35"/>
      <c r="J1065" s="35"/>
      <c r="K1065" s="35"/>
      <c r="L1065" s="35"/>
      <c r="M1065" s="35"/>
      <c r="N1065" s="35"/>
      <c r="O1065" s="35"/>
      <c r="P1065" s="35"/>
      <c r="Q1065" s="35"/>
    </row>
    <row r="1066" spans="1:17">
      <c r="A1066" s="36" t="s">
        <v>2538</v>
      </c>
      <c r="B1066" s="36" t="s">
        <v>4318</v>
      </c>
      <c r="C1066" s="37" t="s">
        <v>2612</v>
      </c>
      <c r="D1066" s="37" t="s">
        <v>2611</v>
      </c>
      <c r="E1066" s="37"/>
      <c r="F1066" s="37" t="s">
        <v>4787</v>
      </c>
      <c r="G1066" s="37" t="s">
        <v>4786</v>
      </c>
      <c r="H1066" s="35"/>
      <c r="J1066" s="35"/>
      <c r="K1066" s="35"/>
      <c r="L1066" s="35"/>
      <c r="M1066" s="35"/>
      <c r="N1066" s="35"/>
      <c r="O1066" s="35"/>
      <c r="P1066" s="35"/>
      <c r="Q1066" s="35"/>
    </row>
    <row r="1067" spans="1:17">
      <c r="A1067" s="36" t="s">
        <v>4319</v>
      </c>
      <c r="B1067" s="36" t="s">
        <v>4320</v>
      </c>
      <c r="C1067" s="37"/>
      <c r="D1067" s="37"/>
      <c r="E1067" s="37"/>
      <c r="F1067" s="37"/>
      <c r="G1067" s="37"/>
      <c r="H1067" s="35"/>
      <c r="J1067" s="35"/>
      <c r="K1067" s="35"/>
      <c r="L1067" s="35"/>
      <c r="M1067" s="35"/>
      <c r="N1067" s="35"/>
      <c r="O1067" s="35"/>
      <c r="P1067" s="35"/>
      <c r="Q1067" s="35"/>
    </row>
    <row r="1068" spans="1:17">
      <c r="A1068" s="36" t="s">
        <v>2540</v>
      </c>
      <c r="B1068" s="36" t="s">
        <v>4321</v>
      </c>
      <c r="C1068" s="37" t="s">
        <v>2612</v>
      </c>
      <c r="D1068" s="37" t="s">
        <v>2611</v>
      </c>
      <c r="E1068" s="37"/>
      <c r="F1068" s="37" t="s">
        <v>4787</v>
      </c>
      <c r="G1068" s="37" t="s">
        <v>4786</v>
      </c>
      <c r="H1068" s="35"/>
      <c r="J1068" s="35"/>
      <c r="K1068" s="35"/>
      <c r="L1068" s="35"/>
      <c r="M1068" s="35"/>
      <c r="N1068" s="35"/>
      <c r="O1068" s="35"/>
      <c r="P1068" s="35"/>
      <c r="Q1068" s="35"/>
    </row>
    <row r="1069" spans="1:17">
      <c r="A1069" s="36" t="s">
        <v>4322</v>
      </c>
      <c r="B1069" s="36" t="s">
        <v>4323</v>
      </c>
      <c r="C1069" s="37"/>
      <c r="D1069" s="37"/>
      <c r="E1069" s="37"/>
      <c r="F1069" s="37"/>
      <c r="G1069" s="37"/>
      <c r="H1069" s="35"/>
      <c r="J1069" s="35"/>
      <c r="K1069" s="35"/>
      <c r="L1069" s="35"/>
      <c r="M1069" s="35"/>
      <c r="N1069" s="35"/>
      <c r="O1069" s="35"/>
      <c r="P1069" s="35"/>
      <c r="Q1069" s="35"/>
    </row>
    <row r="1070" spans="1:17">
      <c r="A1070" s="36" t="s">
        <v>2542</v>
      </c>
      <c r="B1070" s="36" t="s">
        <v>4324</v>
      </c>
      <c r="C1070" s="37" t="s">
        <v>2612</v>
      </c>
      <c r="D1070" s="37" t="s">
        <v>2611</v>
      </c>
      <c r="E1070" s="37"/>
      <c r="F1070" s="37" t="s">
        <v>4787</v>
      </c>
      <c r="G1070" s="37" t="s">
        <v>4786</v>
      </c>
      <c r="H1070" s="35"/>
      <c r="J1070" s="35"/>
      <c r="K1070" s="35"/>
      <c r="L1070" s="35"/>
      <c r="M1070" s="35"/>
      <c r="N1070" s="35"/>
      <c r="O1070" s="35"/>
      <c r="P1070" s="35"/>
      <c r="Q1070" s="35"/>
    </row>
    <row r="1071" spans="1:17">
      <c r="A1071" s="36" t="s">
        <v>2544</v>
      </c>
      <c r="B1071" s="36" t="s">
        <v>4325</v>
      </c>
      <c r="C1071" s="37" t="s">
        <v>2612</v>
      </c>
      <c r="D1071" s="37" t="s">
        <v>2611</v>
      </c>
      <c r="E1071" s="37"/>
      <c r="F1071" s="37" t="s">
        <v>4787</v>
      </c>
      <c r="G1071" s="37" t="s">
        <v>4786</v>
      </c>
      <c r="H1071" s="35"/>
      <c r="J1071" s="35"/>
      <c r="K1071" s="35"/>
      <c r="L1071" s="35"/>
      <c r="M1071" s="35"/>
      <c r="N1071" s="35"/>
      <c r="O1071" s="35"/>
      <c r="P1071" s="35"/>
      <c r="Q1071" s="35"/>
    </row>
    <row r="1072" spans="1:17">
      <c r="A1072" s="36" t="s">
        <v>2546</v>
      </c>
      <c r="B1072" s="36" t="s">
        <v>4326</v>
      </c>
      <c r="C1072" s="37" t="s">
        <v>2612</v>
      </c>
      <c r="D1072" s="37" t="s">
        <v>2611</v>
      </c>
      <c r="E1072" s="37"/>
      <c r="F1072" s="37" t="s">
        <v>4787</v>
      </c>
      <c r="G1072" s="37" t="s">
        <v>4786</v>
      </c>
      <c r="H1072" s="35"/>
      <c r="J1072" s="35"/>
      <c r="K1072" s="35"/>
      <c r="L1072" s="35"/>
      <c r="M1072" s="35"/>
      <c r="N1072" s="35"/>
      <c r="O1072" s="35"/>
      <c r="P1072" s="35"/>
      <c r="Q1072" s="35"/>
    </row>
    <row r="1073" spans="1:17">
      <c r="A1073" s="36" t="s">
        <v>2548</v>
      </c>
      <c r="B1073" s="36" t="s">
        <v>4327</v>
      </c>
      <c r="C1073" s="37" t="s">
        <v>2612</v>
      </c>
      <c r="D1073" s="37" t="s">
        <v>2611</v>
      </c>
      <c r="E1073" s="37"/>
      <c r="F1073" s="37" t="s">
        <v>4787</v>
      </c>
      <c r="G1073" s="37" t="s">
        <v>4786</v>
      </c>
      <c r="H1073" s="35"/>
      <c r="J1073" s="35"/>
      <c r="K1073" s="35"/>
      <c r="L1073" s="35"/>
      <c r="M1073" s="35"/>
      <c r="N1073" s="35"/>
      <c r="O1073" s="35"/>
      <c r="P1073" s="35"/>
      <c r="Q1073" s="35"/>
    </row>
    <row r="1074" spans="1:17">
      <c r="A1074" s="36" t="s">
        <v>4328</v>
      </c>
      <c r="B1074" s="36" t="s">
        <v>4329</v>
      </c>
      <c r="C1074" s="37"/>
      <c r="D1074" s="37"/>
      <c r="E1074" s="37"/>
      <c r="F1074" s="37"/>
      <c r="G1074" s="37"/>
      <c r="H1074" s="35"/>
      <c r="J1074" s="35"/>
      <c r="K1074" s="35"/>
      <c r="L1074" s="35"/>
      <c r="M1074" s="35"/>
      <c r="N1074" s="35"/>
      <c r="O1074" s="35"/>
      <c r="P1074" s="35"/>
      <c r="Q1074" s="35"/>
    </row>
    <row r="1075" spans="1:17">
      <c r="A1075" s="36" t="s">
        <v>2550</v>
      </c>
      <c r="B1075" s="36" t="s">
        <v>4330</v>
      </c>
      <c r="C1075" s="37" t="s">
        <v>2612</v>
      </c>
      <c r="D1075" s="37" t="s">
        <v>2611</v>
      </c>
      <c r="E1075" s="37"/>
      <c r="F1075" s="37" t="s">
        <v>4787</v>
      </c>
      <c r="G1075" s="37" t="s">
        <v>4786</v>
      </c>
      <c r="H1075" s="35"/>
      <c r="J1075" s="35"/>
      <c r="K1075" s="35"/>
      <c r="L1075" s="35"/>
      <c r="M1075" s="35"/>
      <c r="N1075" s="35"/>
      <c r="O1075" s="35"/>
      <c r="P1075" s="35"/>
      <c r="Q1075" s="35"/>
    </row>
    <row r="1076" spans="1:17">
      <c r="A1076" s="36" t="s">
        <v>2552</v>
      </c>
      <c r="B1076" s="36" t="s">
        <v>4331</v>
      </c>
      <c r="C1076" s="37" t="s">
        <v>2612</v>
      </c>
      <c r="D1076" s="37" t="s">
        <v>2611</v>
      </c>
      <c r="E1076" s="37"/>
      <c r="F1076" s="37" t="s">
        <v>4787</v>
      </c>
      <c r="G1076" s="37" t="s">
        <v>4786</v>
      </c>
      <c r="H1076" s="35"/>
      <c r="J1076" s="35"/>
      <c r="K1076" s="35"/>
      <c r="L1076" s="35"/>
      <c r="M1076" s="35"/>
      <c r="N1076" s="35"/>
      <c r="O1076" s="35"/>
      <c r="P1076" s="35"/>
      <c r="Q1076" s="35"/>
    </row>
    <row r="1077" spans="1:17">
      <c r="A1077" s="36" t="s">
        <v>2554</v>
      </c>
      <c r="B1077" s="36" t="s">
        <v>4332</v>
      </c>
      <c r="C1077" s="37" t="s">
        <v>2612</v>
      </c>
      <c r="D1077" s="37" t="s">
        <v>2611</v>
      </c>
      <c r="E1077" s="37"/>
      <c r="F1077" s="37" t="s">
        <v>4787</v>
      </c>
      <c r="G1077" s="37" t="s">
        <v>4786</v>
      </c>
      <c r="H1077" s="35"/>
      <c r="J1077" s="35"/>
      <c r="K1077" s="35"/>
      <c r="L1077" s="35"/>
      <c r="M1077" s="35"/>
      <c r="N1077" s="35"/>
      <c r="O1077" s="35"/>
      <c r="P1077" s="35"/>
      <c r="Q1077" s="35"/>
    </row>
    <row r="1078" spans="1:17">
      <c r="A1078" s="36" t="s">
        <v>2556</v>
      </c>
      <c r="B1078" s="36" t="s">
        <v>4333</v>
      </c>
      <c r="C1078" s="37" t="s">
        <v>2612</v>
      </c>
      <c r="D1078" s="37" t="s">
        <v>2611</v>
      </c>
      <c r="E1078" s="37"/>
      <c r="F1078" s="37" t="s">
        <v>4787</v>
      </c>
      <c r="G1078" s="37" t="s">
        <v>4786</v>
      </c>
      <c r="H1078" s="35"/>
      <c r="J1078" s="35"/>
      <c r="K1078" s="35"/>
      <c r="L1078" s="35"/>
      <c r="M1078" s="35"/>
      <c r="N1078" s="35"/>
      <c r="O1078" s="35"/>
      <c r="P1078" s="35"/>
      <c r="Q1078" s="35"/>
    </row>
    <row r="1079" spans="1:17">
      <c r="A1079" s="36" t="s">
        <v>2558</v>
      </c>
      <c r="B1079" s="36" t="s">
        <v>4334</v>
      </c>
      <c r="C1079" s="37" t="s">
        <v>2612</v>
      </c>
      <c r="D1079" s="37" t="s">
        <v>2611</v>
      </c>
      <c r="E1079" s="37"/>
      <c r="F1079" s="37" t="s">
        <v>4787</v>
      </c>
      <c r="G1079" s="37" t="s">
        <v>4786</v>
      </c>
      <c r="H1079" s="35"/>
      <c r="J1079" s="35"/>
      <c r="K1079" s="35"/>
      <c r="L1079" s="35"/>
      <c r="M1079" s="35"/>
      <c r="N1079" s="35"/>
      <c r="O1079" s="35"/>
      <c r="P1079" s="35"/>
      <c r="Q1079" s="35"/>
    </row>
    <row r="1080" spans="1:17">
      <c r="A1080" s="36" t="s">
        <v>2560</v>
      </c>
      <c r="B1080" s="36" t="s">
        <v>4335</v>
      </c>
      <c r="C1080" s="37" t="s">
        <v>2612</v>
      </c>
      <c r="D1080" s="37" t="s">
        <v>2611</v>
      </c>
      <c r="E1080" s="37"/>
      <c r="F1080" s="37" t="s">
        <v>4787</v>
      </c>
      <c r="G1080" s="37" t="s">
        <v>4786</v>
      </c>
      <c r="H1080" s="35"/>
      <c r="J1080" s="35"/>
      <c r="K1080" s="35"/>
      <c r="L1080" s="35"/>
      <c r="M1080" s="35"/>
      <c r="N1080" s="35"/>
      <c r="O1080" s="35"/>
      <c r="P1080" s="35"/>
      <c r="Q1080" s="35"/>
    </row>
    <row r="1081" spans="1:17">
      <c r="A1081" s="36" t="s">
        <v>4336</v>
      </c>
      <c r="B1081" s="36" t="s">
        <v>4337</v>
      </c>
      <c r="C1081" s="37"/>
      <c r="D1081" s="37"/>
      <c r="E1081" s="37"/>
      <c r="F1081" s="37"/>
      <c r="G1081" s="37"/>
      <c r="H1081" s="35"/>
      <c r="J1081" s="35"/>
      <c r="K1081" s="35"/>
      <c r="L1081" s="35"/>
      <c r="M1081" s="35"/>
      <c r="N1081" s="35"/>
      <c r="O1081" s="35"/>
      <c r="P1081" s="35"/>
      <c r="Q1081" s="35"/>
    </row>
    <row r="1082" spans="1:17">
      <c r="A1082" s="36" t="s">
        <v>2562</v>
      </c>
      <c r="B1082" s="36" t="s">
        <v>4338</v>
      </c>
      <c r="C1082" s="37" t="s">
        <v>2612</v>
      </c>
      <c r="D1082" s="37" t="s">
        <v>2611</v>
      </c>
      <c r="E1082" s="37"/>
      <c r="F1082" s="37" t="s">
        <v>4787</v>
      </c>
      <c r="G1082" s="37" t="s">
        <v>4786</v>
      </c>
      <c r="H1082" s="35"/>
      <c r="J1082" s="35"/>
      <c r="K1082" s="35"/>
      <c r="L1082" s="35"/>
      <c r="M1082" s="35"/>
      <c r="N1082" s="35"/>
      <c r="O1082" s="35"/>
      <c r="P1082" s="35"/>
      <c r="Q1082" s="35"/>
    </row>
    <row r="1083" spans="1:17">
      <c r="A1083" s="36" t="s">
        <v>4339</v>
      </c>
      <c r="B1083" s="36" t="s">
        <v>4340</v>
      </c>
      <c r="C1083" s="37"/>
      <c r="D1083" s="37"/>
      <c r="E1083" s="37"/>
      <c r="F1083" s="37"/>
      <c r="G1083" s="37"/>
      <c r="H1083" s="35"/>
      <c r="J1083" s="35"/>
      <c r="K1083" s="35"/>
      <c r="L1083" s="35"/>
      <c r="M1083" s="35"/>
      <c r="N1083" s="35"/>
      <c r="O1083" s="35"/>
      <c r="P1083" s="35"/>
      <c r="Q1083" s="35"/>
    </row>
    <row r="1084" spans="1:17">
      <c r="A1084" s="36" t="s">
        <v>2564</v>
      </c>
      <c r="B1084" s="36" t="s">
        <v>4341</v>
      </c>
      <c r="C1084" s="37" t="s">
        <v>2612</v>
      </c>
      <c r="D1084" s="37" t="s">
        <v>2611</v>
      </c>
      <c r="E1084" s="37"/>
      <c r="F1084" s="37" t="s">
        <v>4787</v>
      </c>
      <c r="G1084" s="37" t="s">
        <v>4786</v>
      </c>
      <c r="H1084" s="35"/>
      <c r="J1084" s="35"/>
      <c r="K1084" s="35"/>
      <c r="L1084" s="35"/>
      <c r="M1084" s="35"/>
      <c r="N1084" s="35"/>
      <c r="O1084" s="35"/>
      <c r="P1084" s="35"/>
      <c r="Q1084" s="35"/>
    </row>
    <row r="1085" spans="1:17">
      <c r="A1085" s="36" t="s">
        <v>2566</v>
      </c>
      <c r="B1085" s="36" t="s">
        <v>4342</v>
      </c>
      <c r="C1085" s="37" t="s">
        <v>2612</v>
      </c>
      <c r="D1085" s="37" t="s">
        <v>2611</v>
      </c>
      <c r="E1085" s="37"/>
      <c r="F1085" s="37" t="s">
        <v>4787</v>
      </c>
      <c r="G1085" s="37" t="s">
        <v>4786</v>
      </c>
      <c r="H1085" s="35"/>
      <c r="J1085" s="35"/>
      <c r="K1085" s="35"/>
      <c r="L1085" s="35"/>
      <c r="M1085" s="35"/>
      <c r="N1085" s="35"/>
      <c r="O1085" s="35"/>
      <c r="P1085" s="35"/>
      <c r="Q1085" s="35"/>
    </row>
    <row r="1086" spans="1:17">
      <c r="A1086" s="36" t="s">
        <v>2568</v>
      </c>
      <c r="B1086" s="36" t="s">
        <v>4343</v>
      </c>
      <c r="C1086" s="37" t="s">
        <v>2612</v>
      </c>
      <c r="D1086" s="37" t="s">
        <v>2611</v>
      </c>
      <c r="E1086" s="37"/>
      <c r="F1086" s="37" t="s">
        <v>4787</v>
      </c>
      <c r="G1086" s="37" t="s">
        <v>4786</v>
      </c>
      <c r="H1086" s="35"/>
      <c r="J1086" s="35"/>
      <c r="K1086" s="35"/>
      <c r="L1086" s="35"/>
      <c r="M1086" s="35"/>
      <c r="N1086" s="35"/>
      <c r="O1086" s="35"/>
      <c r="P1086" s="35"/>
      <c r="Q1086" s="35"/>
    </row>
    <row r="1087" spans="1:17">
      <c r="A1087" s="36" t="s">
        <v>4344</v>
      </c>
      <c r="B1087" s="36" t="s">
        <v>4345</v>
      </c>
      <c r="C1087" s="37"/>
      <c r="D1087" s="37"/>
      <c r="E1087" s="37"/>
      <c r="F1087" s="37"/>
      <c r="G1087" s="37"/>
      <c r="H1087" s="35"/>
      <c r="J1087" s="35"/>
      <c r="K1087" s="35"/>
      <c r="L1087" s="35"/>
      <c r="M1087" s="35"/>
      <c r="N1087" s="35"/>
      <c r="O1087" s="35"/>
      <c r="P1087" s="35"/>
      <c r="Q1087" s="35"/>
    </row>
    <row r="1088" spans="1:17">
      <c r="A1088" s="36" t="s">
        <v>2570</v>
      </c>
      <c r="B1088" s="36" t="s">
        <v>4346</v>
      </c>
      <c r="C1088" s="37" t="s">
        <v>2612</v>
      </c>
      <c r="D1088" s="37" t="s">
        <v>2611</v>
      </c>
      <c r="E1088" s="37"/>
      <c r="F1088" s="37" t="s">
        <v>4787</v>
      </c>
      <c r="G1088" s="37" t="s">
        <v>4786</v>
      </c>
      <c r="H1088" s="35"/>
      <c r="J1088" s="35"/>
      <c r="K1088" s="35"/>
      <c r="L1088" s="35"/>
      <c r="M1088" s="35"/>
      <c r="N1088" s="35"/>
      <c r="O1088" s="35"/>
      <c r="P1088" s="35"/>
      <c r="Q1088" s="35"/>
    </row>
    <row r="1089" spans="1:17">
      <c r="A1089" s="36" t="s">
        <v>2572</v>
      </c>
      <c r="B1089" s="36" t="s">
        <v>4347</v>
      </c>
      <c r="C1089" s="37" t="s">
        <v>2612</v>
      </c>
      <c r="D1089" s="37" t="s">
        <v>2611</v>
      </c>
      <c r="E1089" s="37"/>
      <c r="F1089" s="37" t="s">
        <v>4787</v>
      </c>
      <c r="G1089" s="37" t="s">
        <v>4786</v>
      </c>
      <c r="H1089" s="35"/>
      <c r="J1089" s="35"/>
      <c r="K1089" s="35"/>
      <c r="L1089" s="35"/>
      <c r="M1089" s="35"/>
      <c r="N1089" s="35"/>
      <c r="O1089" s="35"/>
      <c r="P1089" s="35"/>
      <c r="Q1089" s="35"/>
    </row>
    <row r="1090" spans="1:17">
      <c r="A1090" s="36" t="s">
        <v>2574</v>
      </c>
      <c r="B1090" s="36" t="s">
        <v>4348</v>
      </c>
      <c r="C1090" s="37" t="s">
        <v>2612</v>
      </c>
      <c r="D1090" s="37" t="s">
        <v>2611</v>
      </c>
      <c r="E1090" s="37"/>
      <c r="F1090" s="37" t="s">
        <v>4787</v>
      </c>
      <c r="G1090" s="37" t="s">
        <v>4786</v>
      </c>
      <c r="H1090" s="35"/>
      <c r="J1090" s="35"/>
      <c r="K1090" s="35"/>
      <c r="L1090" s="35"/>
      <c r="M1090" s="35"/>
      <c r="N1090" s="35"/>
      <c r="O1090" s="35"/>
      <c r="P1090" s="35"/>
      <c r="Q1090" s="35"/>
    </row>
    <row r="1091" spans="1:17">
      <c r="A1091" s="36" t="s">
        <v>2576</v>
      </c>
      <c r="B1091" s="36" t="s">
        <v>4349</v>
      </c>
      <c r="C1091" s="37" t="s">
        <v>2612</v>
      </c>
      <c r="D1091" s="37" t="s">
        <v>2611</v>
      </c>
      <c r="E1091" s="37"/>
      <c r="F1091" s="37" t="s">
        <v>4787</v>
      </c>
      <c r="G1091" s="37" t="s">
        <v>4786</v>
      </c>
      <c r="H1091" s="35"/>
      <c r="J1091" s="35"/>
      <c r="K1091" s="35"/>
      <c r="L1091" s="35"/>
      <c r="M1091" s="35"/>
      <c r="N1091" s="35"/>
      <c r="O1091" s="35"/>
      <c r="P1091" s="35"/>
      <c r="Q1091" s="35"/>
    </row>
    <row r="1092" spans="1:17">
      <c r="A1092" s="36" t="s">
        <v>4350</v>
      </c>
      <c r="B1092" s="36" t="s">
        <v>4351</v>
      </c>
      <c r="C1092" s="37"/>
      <c r="D1092" s="37"/>
      <c r="E1092" s="37"/>
      <c r="F1092" s="37"/>
      <c r="G1092" s="37"/>
      <c r="H1092" s="35"/>
      <c r="J1092" s="35"/>
      <c r="K1092" s="35"/>
      <c r="L1092" s="35"/>
      <c r="M1092" s="35"/>
      <c r="N1092" s="35"/>
      <c r="O1092" s="35"/>
      <c r="P1092" s="35"/>
      <c r="Q1092" s="35"/>
    </row>
    <row r="1093" spans="1:17">
      <c r="A1093" s="36" t="s">
        <v>2578</v>
      </c>
      <c r="B1093" s="36" t="s">
        <v>4352</v>
      </c>
      <c r="C1093" s="37" t="s">
        <v>2612</v>
      </c>
      <c r="D1093" s="37" t="s">
        <v>2611</v>
      </c>
      <c r="E1093" s="37"/>
      <c r="F1093" s="37" t="s">
        <v>4787</v>
      </c>
      <c r="G1093" s="37" t="s">
        <v>4786</v>
      </c>
      <c r="H1093" s="35"/>
      <c r="J1093" s="35"/>
      <c r="K1093" s="35"/>
      <c r="L1093" s="35"/>
      <c r="M1093" s="35"/>
      <c r="N1093" s="35"/>
      <c r="O1093" s="35"/>
      <c r="P1093" s="35"/>
      <c r="Q1093" s="35"/>
    </row>
    <row r="1094" spans="1:17">
      <c r="A1094" s="36" t="s">
        <v>2580</v>
      </c>
      <c r="B1094" s="36" t="s">
        <v>4353</v>
      </c>
      <c r="C1094" s="37" t="s">
        <v>2612</v>
      </c>
      <c r="D1094" s="37" t="s">
        <v>2611</v>
      </c>
      <c r="E1094" s="37"/>
      <c r="F1094" s="37" t="s">
        <v>4787</v>
      </c>
      <c r="G1094" s="37" t="s">
        <v>4786</v>
      </c>
      <c r="H1094" s="35"/>
      <c r="J1094" s="35"/>
      <c r="K1094" s="35"/>
      <c r="L1094" s="35"/>
      <c r="M1094" s="35"/>
      <c r="N1094" s="35"/>
      <c r="O1094" s="35"/>
      <c r="P1094" s="35"/>
      <c r="Q1094" s="35"/>
    </row>
    <row r="1095" spans="1:17">
      <c r="A1095" s="36" t="s">
        <v>2582</v>
      </c>
      <c r="B1095" s="36" t="s">
        <v>4354</v>
      </c>
      <c r="C1095" s="37" t="s">
        <v>2612</v>
      </c>
      <c r="D1095" s="37" t="s">
        <v>2611</v>
      </c>
      <c r="E1095" s="37"/>
      <c r="F1095" s="37" t="s">
        <v>4787</v>
      </c>
      <c r="G1095" s="37" t="s">
        <v>4786</v>
      </c>
      <c r="H1095" s="35"/>
      <c r="J1095" s="35"/>
      <c r="K1095" s="35"/>
      <c r="L1095" s="35"/>
      <c r="M1095" s="35"/>
      <c r="N1095" s="35"/>
      <c r="O1095" s="35"/>
      <c r="P1095" s="35"/>
      <c r="Q1095" s="35"/>
    </row>
    <row r="1096" spans="1:17">
      <c r="A1096" s="36" t="s">
        <v>2584</v>
      </c>
      <c r="B1096" s="36" t="s">
        <v>4355</v>
      </c>
      <c r="C1096" s="37" t="s">
        <v>2612</v>
      </c>
      <c r="D1096" s="37" t="s">
        <v>2611</v>
      </c>
      <c r="E1096" s="37"/>
      <c r="F1096" s="37" t="s">
        <v>4787</v>
      </c>
      <c r="G1096" s="37" t="s">
        <v>4786</v>
      </c>
      <c r="H1096" s="35"/>
      <c r="J1096" s="35"/>
      <c r="K1096" s="35"/>
      <c r="L1096" s="35"/>
      <c r="M1096" s="35"/>
      <c r="N1096" s="35"/>
      <c r="O1096" s="35"/>
      <c r="P1096" s="35"/>
      <c r="Q1096" s="35"/>
    </row>
    <row r="1097" spans="1:17">
      <c r="A1097" s="36" t="s">
        <v>2586</v>
      </c>
      <c r="B1097" s="36" t="s">
        <v>4356</v>
      </c>
      <c r="C1097" s="37" t="s">
        <v>2612</v>
      </c>
      <c r="D1097" s="37" t="s">
        <v>2611</v>
      </c>
      <c r="E1097" s="37"/>
      <c r="F1097" s="37" t="s">
        <v>4787</v>
      </c>
      <c r="G1097" s="37" t="s">
        <v>4786</v>
      </c>
      <c r="H1097" s="35"/>
      <c r="J1097" s="35"/>
      <c r="K1097" s="35"/>
      <c r="L1097" s="35"/>
      <c r="M1097" s="35"/>
      <c r="N1097" s="35"/>
      <c r="O1097" s="35"/>
      <c r="P1097" s="35"/>
      <c r="Q1097" s="35"/>
    </row>
    <row r="1098" spans="1:17">
      <c r="A1098" s="36" t="s">
        <v>2588</v>
      </c>
      <c r="B1098" s="36" t="s">
        <v>4357</v>
      </c>
      <c r="C1098" s="37" t="s">
        <v>2612</v>
      </c>
      <c r="D1098" s="37" t="s">
        <v>2611</v>
      </c>
      <c r="E1098" s="37"/>
      <c r="F1098" s="37" t="s">
        <v>4787</v>
      </c>
      <c r="G1098" s="37" t="s">
        <v>4786</v>
      </c>
      <c r="H1098" s="35"/>
      <c r="J1098" s="35"/>
      <c r="K1098" s="35"/>
      <c r="L1098" s="35"/>
      <c r="M1098" s="35"/>
      <c r="N1098" s="35"/>
      <c r="O1098" s="35"/>
      <c r="P1098" s="35"/>
      <c r="Q1098" s="35"/>
    </row>
    <row r="1099" spans="1:17">
      <c r="A1099" s="36" t="s">
        <v>4358</v>
      </c>
      <c r="B1099" s="36" t="s">
        <v>4359</v>
      </c>
      <c r="C1099" s="37"/>
      <c r="D1099" s="37"/>
      <c r="E1099" s="37"/>
      <c r="F1099" s="37"/>
      <c r="G1099" s="37"/>
      <c r="H1099" s="35"/>
      <c r="J1099" s="35"/>
      <c r="K1099" s="35"/>
      <c r="L1099" s="35"/>
      <c r="M1099" s="35"/>
      <c r="N1099" s="35"/>
      <c r="O1099" s="35"/>
      <c r="P1099" s="35"/>
      <c r="Q1099" s="35"/>
    </row>
    <row r="1100" spans="1:17">
      <c r="A1100" s="36" t="s">
        <v>2590</v>
      </c>
      <c r="B1100" s="36" t="s">
        <v>4360</v>
      </c>
      <c r="C1100" s="37" t="s">
        <v>2612</v>
      </c>
      <c r="D1100" s="37" t="s">
        <v>2611</v>
      </c>
      <c r="E1100" s="37"/>
      <c r="F1100" s="37" t="s">
        <v>4787</v>
      </c>
      <c r="G1100" s="37" t="s">
        <v>4786</v>
      </c>
      <c r="H1100" s="35"/>
      <c r="J1100" s="35"/>
      <c r="K1100" s="35"/>
      <c r="L1100" s="35"/>
      <c r="M1100" s="35"/>
      <c r="N1100" s="35"/>
      <c r="O1100" s="35"/>
      <c r="P1100" s="35"/>
      <c r="Q1100" s="35"/>
    </row>
    <row r="1101" spans="1:17">
      <c r="A1101" s="36" t="s">
        <v>2592</v>
      </c>
      <c r="B1101" s="36" t="s">
        <v>4361</v>
      </c>
      <c r="C1101" s="37" t="s">
        <v>2612</v>
      </c>
      <c r="D1101" s="37" t="s">
        <v>2611</v>
      </c>
      <c r="E1101" s="37"/>
      <c r="F1101" s="37" t="s">
        <v>4787</v>
      </c>
      <c r="G1101" s="37" t="s">
        <v>4786</v>
      </c>
      <c r="H1101" s="35"/>
      <c r="J1101" s="35"/>
      <c r="K1101" s="35"/>
      <c r="L1101" s="35"/>
      <c r="M1101" s="35"/>
      <c r="N1101" s="35"/>
      <c r="O1101" s="35"/>
      <c r="P1101" s="35"/>
      <c r="Q1101" s="35"/>
    </row>
    <row r="1102" spans="1:17">
      <c r="A1102" s="36" t="s">
        <v>4362</v>
      </c>
      <c r="B1102" s="36" t="s">
        <v>4363</v>
      </c>
      <c r="C1102" s="37"/>
      <c r="D1102" s="37"/>
      <c r="E1102" s="37"/>
      <c r="F1102" s="37"/>
      <c r="G1102" s="37"/>
      <c r="H1102" s="35"/>
      <c r="J1102" s="35"/>
      <c r="K1102" s="35"/>
      <c r="L1102" s="35"/>
      <c r="M1102" s="35"/>
      <c r="N1102" s="35"/>
      <c r="O1102" s="35"/>
      <c r="P1102" s="35"/>
      <c r="Q1102" s="35"/>
    </row>
    <row r="1103" spans="1:17">
      <c r="A1103" s="36" t="s">
        <v>2594</v>
      </c>
      <c r="B1103" s="36" t="s">
        <v>4364</v>
      </c>
      <c r="C1103" s="37" t="s">
        <v>2612</v>
      </c>
      <c r="D1103" s="37" t="s">
        <v>2611</v>
      </c>
      <c r="E1103" s="37"/>
      <c r="F1103" s="37" t="s">
        <v>4787</v>
      </c>
      <c r="G1103" s="37" t="s">
        <v>4786</v>
      </c>
      <c r="H1103" s="35"/>
      <c r="J1103" s="35"/>
      <c r="K1103" s="35"/>
      <c r="L1103" s="35"/>
      <c r="M1103" s="35"/>
      <c r="N1103" s="35"/>
      <c r="O1103" s="35"/>
      <c r="P1103" s="35"/>
      <c r="Q1103" s="35"/>
    </row>
    <row r="1104" spans="1:17">
      <c r="A1104" s="36"/>
      <c r="B1104" s="36"/>
      <c r="C1104" s="37"/>
      <c r="D1104" s="37"/>
      <c r="E1104" s="37"/>
      <c r="F1104" s="37"/>
      <c r="G1104" s="37"/>
      <c r="H1104" s="35"/>
      <c r="J1104" s="35"/>
      <c r="K1104" s="35"/>
      <c r="L1104" s="35"/>
      <c r="M1104" s="35"/>
      <c r="N1104" s="35"/>
      <c r="O1104" s="35"/>
      <c r="P1104" s="35"/>
      <c r="Q1104" s="35"/>
    </row>
    <row r="1105" spans="10:17">
      <c r="J1105" s="35"/>
      <c r="K1105" s="35"/>
      <c r="L1105" s="35"/>
      <c r="M1105" s="35"/>
      <c r="N1105" s="35"/>
      <c r="O1105" s="35"/>
      <c r="P1105" s="35"/>
      <c r="Q1105" s="35"/>
    </row>
    <row r="1106" spans="10:17">
      <c r="J1106" s="35"/>
      <c r="K1106" s="35"/>
      <c r="L1106" s="35"/>
      <c r="M1106" s="35"/>
      <c r="N1106" s="35"/>
      <c r="O1106" s="35"/>
      <c r="P1106" s="35"/>
      <c r="Q1106" s="35"/>
    </row>
    <row r="1107" spans="10:17">
      <c r="J1107" s="35"/>
      <c r="K1107" s="35"/>
      <c r="L1107" s="35"/>
      <c r="M1107" s="35"/>
      <c r="N1107" s="35"/>
      <c r="O1107" s="35"/>
      <c r="P1107" s="35"/>
      <c r="Q1107" s="35"/>
    </row>
    <row r="1108" spans="10:17">
      <c r="J1108" s="35"/>
      <c r="K1108" s="35"/>
      <c r="L1108" s="35"/>
      <c r="M1108" s="35"/>
      <c r="N1108" s="35"/>
      <c r="O1108" s="35"/>
      <c r="P1108" s="35"/>
      <c r="Q1108" s="35"/>
    </row>
    <row r="1109" spans="10:17">
      <c r="J1109" s="35"/>
      <c r="K1109" s="35"/>
      <c r="L1109" s="35"/>
      <c r="M1109" s="35"/>
      <c r="N1109" s="35"/>
      <c r="O1109" s="35"/>
      <c r="P1109" s="35"/>
      <c r="Q1109" s="35"/>
    </row>
    <row r="1110" spans="10:17">
      <c r="J1110" s="35"/>
      <c r="K1110" s="35"/>
      <c r="L1110" s="35"/>
      <c r="M1110" s="35"/>
      <c r="N1110" s="35"/>
      <c r="O1110" s="35"/>
      <c r="P1110" s="35"/>
      <c r="Q1110" s="35"/>
    </row>
    <row r="1111" spans="10:17">
      <c r="J1111" s="35"/>
      <c r="K1111" s="35"/>
      <c r="L1111" s="35"/>
      <c r="M1111" s="35"/>
      <c r="N1111" s="35"/>
      <c r="O1111" s="35"/>
      <c r="P1111" s="35"/>
      <c r="Q1111" s="35"/>
    </row>
    <row r="1112" spans="10:17">
      <c r="J1112" s="35"/>
      <c r="K1112" s="35"/>
      <c r="L1112" s="35"/>
      <c r="M1112" s="35"/>
      <c r="N1112" s="35"/>
      <c r="O1112" s="35"/>
      <c r="P1112" s="35"/>
      <c r="Q1112" s="35"/>
    </row>
    <row r="1113" spans="10:17">
      <c r="J1113" s="35"/>
      <c r="K1113" s="35"/>
      <c r="L1113" s="35"/>
      <c r="M1113" s="35"/>
      <c r="N1113" s="35"/>
      <c r="O1113" s="35"/>
      <c r="P1113" s="35"/>
      <c r="Q1113" s="35"/>
    </row>
    <row r="1114" spans="10:17">
      <c r="J1114" s="35"/>
      <c r="K1114" s="35"/>
      <c r="L1114" s="35"/>
      <c r="M1114" s="35"/>
      <c r="N1114" s="35"/>
      <c r="O1114" s="35"/>
      <c r="P1114" s="35"/>
      <c r="Q1114" s="35"/>
    </row>
    <row r="1115" spans="10:17">
      <c r="J1115" s="35"/>
      <c r="K1115" s="35"/>
      <c r="L1115" s="35"/>
      <c r="M1115" s="35"/>
      <c r="N1115" s="35"/>
      <c r="O1115" s="35"/>
      <c r="P1115" s="35"/>
      <c r="Q1115" s="35"/>
    </row>
    <row r="1116" spans="10:17">
      <c r="J1116" s="35"/>
      <c r="K1116" s="35"/>
      <c r="L1116" s="35"/>
      <c r="M1116" s="35"/>
      <c r="N1116" s="35"/>
      <c r="O1116" s="35"/>
      <c r="P1116" s="35"/>
      <c r="Q1116" s="35"/>
    </row>
    <row r="1117" spans="10:17">
      <c r="J1117" s="35"/>
      <c r="K1117" s="35"/>
      <c r="L1117" s="35"/>
      <c r="M1117" s="35"/>
      <c r="N1117" s="35"/>
      <c r="O1117" s="35"/>
      <c r="P1117" s="35"/>
      <c r="Q1117" s="35"/>
    </row>
    <row r="1118" spans="10:17">
      <c r="J1118" s="35"/>
      <c r="K1118" s="35"/>
      <c r="L1118" s="35"/>
      <c r="M1118" s="35"/>
      <c r="N1118" s="35"/>
      <c r="O1118" s="35"/>
      <c r="P1118" s="35"/>
      <c r="Q1118" s="35"/>
    </row>
    <row r="1119" spans="10:17">
      <c r="J1119" s="35"/>
      <c r="K1119" s="35"/>
      <c r="L1119" s="35"/>
      <c r="M1119" s="35"/>
      <c r="N1119" s="35"/>
      <c r="O1119" s="35"/>
      <c r="P1119" s="35"/>
      <c r="Q1119" s="35"/>
    </row>
    <row r="1120" spans="10:17">
      <c r="J1120" s="35"/>
      <c r="K1120" s="35"/>
      <c r="L1120" s="35"/>
      <c r="M1120" s="35"/>
      <c r="N1120" s="35"/>
      <c r="O1120" s="35"/>
      <c r="P1120" s="35"/>
      <c r="Q1120" s="35"/>
    </row>
    <row r="1121" spans="10:17">
      <c r="J1121" s="35"/>
      <c r="K1121" s="35"/>
      <c r="L1121" s="35"/>
      <c r="M1121" s="35"/>
      <c r="N1121" s="35"/>
      <c r="O1121" s="35"/>
      <c r="P1121" s="35"/>
      <c r="Q1121" s="35"/>
    </row>
    <row r="1122" spans="10:17">
      <c r="J1122" s="35"/>
      <c r="K1122" s="35"/>
      <c r="L1122" s="35"/>
      <c r="M1122" s="35"/>
      <c r="N1122" s="35"/>
      <c r="O1122" s="35"/>
      <c r="P1122" s="35"/>
      <c r="Q1122" s="35"/>
    </row>
    <row r="1123" spans="10:17">
      <c r="J1123" s="35"/>
      <c r="K1123" s="35"/>
      <c r="L1123" s="35"/>
      <c r="M1123" s="35"/>
      <c r="N1123" s="35"/>
      <c r="O1123" s="35"/>
      <c r="P1123" s="35"/>
      <c r="Q1123" s="35"/>
    </row>
    <row r="1124" spans="10:17">
      <c r="J1124" s="35"/>
      <c r="K1124" s="35"/>
      <c r="L1124" s="35"/>
      <c r="M1124" s="35"/>
      <c r="N1124" s="35"/>
      <c r="O1124" s="35"/>
      <c r="P1124" s="35"/>
      <c r="Q1124" s="35"/>
    </row>
  </sheetData>
  <mergeCells count="2">
    <mergeCell ref="S1:T2"/>
    <mergeCell ref="S4:T4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outlinePr summaryBelow="0" summaryRight="0"/>
  </sheetPr>
  <dimension ref="A1:W929"/>
  <sheetViews>
    <sheetView workbookViewId="0">
      <selection activeCell="G25" sqref="G25"/>
    </sheetView>
  </sheetViews>
  <sheetFormatPr baseColWidth="10" defaultColWidth="14.42578125" defaultRowHeight="15" customHeight="1"/>
  <cols>
    <col min="1" max="1" width="27.42578125" style="106" customWidth="1"/>
    <col min="2" max="2" width="29" style="106" customWidth="1"/>
    <col min="3" max="3" width="30.42578125" style="106" customWidth="1"/>
    <col min="4" max="5" width="22.140625" style="106" customWidth="1"/>
    <col min="6" max="6" width="24.42578125" style="106" bestFit="1" customWidth="1"/>
    <col min="7" max="7" width="23.42578125" style="106" bestFit="1" customWidth="1"/>
    <col min="8" max="8" width="29.42578125" style="106" customWidth="1"/>
    <col min="9" max="9" width="38.140625" style="106" customWidth="1"/>
    <col min="10" max="10" width="27" style="106" customWidth="1"/>
    <col min="11" max="16384" width="14.42578125" style="106"/>
  </cols>
  <sheetData>
    <row r="1" spans="1:22" ht="15" customHeight="1">
      <c r="A1" s="103" t="s">
        <v>0</v>
      </c>
      <c r="B1" s="103" t="s">
        <v>1</v>
      </c>
      <c r="C1" s="104" t="s">
        <v>4395</v>
      </c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22" ht="15" customHeight="1">
      <c r="A2" s="107" t="s">
        <v>45</v>
      </c>
      <c r="B2" s="107">
        <f>limit1</f>
        <v>0</v>
      </c>
      <c r="C2" s="131">
        <v>0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22" ht="15" customHeight="1">
      <c r="A3" s="107" t="s">
        <v>47</v>
      </c>
      <c r="B3" s="107">
        <f>limit2</f>
        <v>0</v>
      </c>
      <c r="C3" s="131">
        <v>0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</row>
    <row r="4" spans="1:22" ht="15" customHeight="1">
      <c r="A4" s="107" t="s">
        <v>49</v>
      </c>
      <c r="B4" s="107">
        <f>limit3</f>
        <v>0</v>
      </c>
      <c r="C4" s="131">
        <v>0</v>
      </c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</row>
    <row r="5" spans="1:22" ht="15" customHeight="1">
      <c r="A5" s="107" t="s">
        <v>4396</v>
      </c>
      <c r="B5" s="107">
        <f>sublimit1</f>
        <v>0</v>
      </c>
      <c r="C5" s="131">
        <v>0</v>
      </c>
      <c r="D5" s="108"/>
      <c r="E5" s="108"/>
      <c r="F5" s="108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</row>
    <row r="6" spans="1:22" ht="15" customHeight="1">
      <c r="A6" s="107" t="s">
        <v>4397</v>
      </c>
      <c r="B6" s="107">
        <f>sublimit2</f>
        <v>0</v>
      </c>
      <c r="C6" s="131">
        <v>0</v>
      </c>
      <c r="D6" s="108"/>
      <c r="E6" s="108"/>
      <c r="F6" s="108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</row>
    <row r="7" spans="1:22" ht="15" customHeight="1">
      <c r="A7" s="107" t="s">
        <v>4398</v>
      </c>
      <c r="B7" s="107">
        <f>sublimit3</f>
        <v>0</v>
      </c>
      <c r="C7" s="131">
        <v>0</v>
      </c>
      <c r="D7" s="108"/>
      <c r="E7" s="108"/>
      <c r="F7" s="108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</row>
    <row r="8" spans="1:22" ht="15" customHeight="1">
      <c r="A8" s="109"/>
      <c r="B8" s="109"/>
      <c r="C8" s="108"/>
      <c r="D8" s="108"/>
      <c r="E8" s="108"/>
      <c r="F8" s="108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</row>
    <row r="9" spans="1:22" ht="15" customHeight="1">
      <c r="A9" s="107" t="s">
        <v>4399</v>
      </c>
      <c r="B9" s="107">
        <f>anzahlMitarbeiterVZ</f>
        <v>0</v>
      </c>
      <c r="C9" s="108"/>
      <c r="D9" s="108"/>
      <c r="E9" s="108"/>
      <c r="F9" s="108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</row>
    <row r="10" spans="1:22" ht="15" customHeight="1">
      <c r="A10" s="107" t="s">
        <v>4400</v>
      </c>
      <c r="B10" s="107">
        <f>anzahlMitarbeiterTZ</f>
        <v>0</v>
      </c>
      <c r="C10" s="108"/>
      <c r="D10" s="108"/>
      <c r="E10" s="108"/>
      <c r="F10" s="108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</row>
    <row r="11" spans="1:22" ht="15" customHeight="1">
      <c r="A11" s="107" t="s">
        <v>4401</v>
      </c>
      <c r="B11" s="107">
        <f>anzahlMitarbeiterGF</f>
        <v>0</v>
      </c>
      <c r="C11" s="108"/>
      <c r="D11" s="108"/>
      <c r="E11" s="108"/>
      <c r="F11" s="108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</row>
    <row r="12" spans="1:22" ht="15" customHeight="1">
      <c r="A12" s="107" t="str">
        <f>Fragenkatalog!A17</f>
        <v>Geltungsbereich</v>
      </c>
      <c r="B12" s="107">
        <f>geltungsbereich</f>
        <v>0</v>
      </c>
      <c r="C12" s="108"/>
      <c r="D12" s="108"/>
      <c r="E12" s="108"/>
      <c r="F12" s="108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</row>
    <row r="13" spans="1:22" ht="15" customHeight="1">
      <c r="A13" s="110"/>
      <c r="B13" s="108"/>
      <c r="C13" s="108"/>
      <c r="D13" s="108"/>
      <c r="E13" s="108"/>
      <c r="F13" s="108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</row>
    <row r="14" spans="1:22" ht="15" customHeight="1">
      <c r="A14" s="111" t="s">
        <v>17</v>
      </c>
      <c r="B14" s="112">
        <f>RisikoFragen902</f>
        <v>0</v>
      </c>
      <c r="C14" s="108"/>
      <c r="D14" s="108"/>
      <c r="E14" s="108"/>
      <c r="F14" s="108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</row>
    <row r="15" spans="1:22" ht="15" customHeight="1">
      <c r="A15" s="111" t="s">
        <v>18</v>
      </c>
      <c r="B15" s="112">
        <f>coopbrokerCourtageHPST</f>
        <v>0</v>
      </c>
      <c r="C15" s="108"/>
      <c r="D15" s="108"/>
      <c r="E15" s="108"/>
      <c r="F15" s="108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</row>
    <row r="16" spans="1:22" ht="15" customHeight="1">
      <c r="A16" s="110"/>
      <c r="B16" s="108"/>
      <c r="C16" s="108"/>
      <c r="D16" s="108"/>
      <c r="E16" s="108"/>
      <c r="F16" s="108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</row>
    <row r="17" spans="1:23" ht="15" customHeight="1">
      <c r="A17" s="113" t="s">
        <v>4402</v>
      </c>
      <c r="B17" s="114">
        <f>anzahlMitarbeiterGesamt</f>
        <v>0</v>
      </c>
      <c r="C17" s="108"/>
      <c r="D17" s="108"/>
      <c r="E17" s="108"/>
      <c r="F17" s="108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</row>
    <row r="18" spans="1:23" ht="15" customHeight="1">
      <c r="A18" s="113" t="s">
        <v>4403</v>
      </c>
      <c r="B18" s="145"/>
      <c r="C18" s="108"/>
      <c r="D18" s="108"/>
      <c r="E18" s="108"/>
      <c r="F18" s="108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</row>
    <row r="19" spans="1:23" ht="15" customHeight="1">
      <c r="A19" s="113" t="s">
        <v>4404</v>
      </c>
      <c r="B19" s="145"/>
      <c r="C19" s="108"/>
      <c r="D19" s="108"/>
      <c r="E19" s="108"/>
      <c r="F19" s="108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</row>
    <row r="20" spans="1:23" ht="15" customHeight="1">
      <c r="A20" s="113" t="s">
        <v>4405</v>
      </c>
      <c r="B20" s="133">
        <f>Referrals!J37</f>
        <v>1</v>
      </c>
      <c r="C20" s="108"/>
      <c r="D20" s="108"/>
      <c r="E20" s="108"/>
      <c r="F20" s="108"/>
      <c r="G20" s="105"/>
      <c r="H20" s="105"/>
      <c r="I20" s="105"/>
      <c r="J20" s="132" t="s">
        <v>4488</v>
      </c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</row>
    <row r="21" spans="1:23" ht="15" customHeight="1">
      <c r="A21" s="113" t="s">
        <v>4406</v>
      </c>
      <c r="B21" s="133">
        <f>IF(geltungsbereich = "EU", -9.09, 0)</f>
        <v>0</v>
      </c>
      <c r="C21" s="108"/>
      <c r="D21" s="108"/>
      <c r="E21" s="108"/>
      <c r="F21" s="108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</row>
    <row r="22" spans="1:23" ht="15" customHeight="1">
      <c r="A22" s="113" t="s">
        <v>4487</v>
      </c>
      <c r="B22" s="133">
        <v>0.4</v>
      </c>
      <c r="C22" s="108"/>
      <c r="D22" s="108"/>
      <c r="E22" s="108"/>
      <c r="F22" s="108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</row>
    <row r="23" spans="1:23" ht="15" customHeight="1">
      <c r="A23" s="110"/>
      <c r="B23" s="108"/>
      <c r="C23" s="108"/>
      <c r="D23" s="108"/>
      <c r="E23" s="108"/>
      <c r="F23" s="108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</row>
    <row r="24" spans="1:23" ht="15" customHeight="1">
      <c r="A24" s="115"/>
      <c r="B24" s="116" t="s">
        <v>4408</v>
      </c>
      <c r="C24" s="115" t="s">
        <v>4409</v>
      </c>
      <c r="D24" s="117" t="s">
        <v>4410</v>
      </c>
      <c r="E24" s="118" t="s">
        <v>4489</v>
      </c>
      <c r="F24" s="118" t="s">
        <v>4490</v>
      </c>
      <c r="G24" s="119" t="s">
        <v>4403</v>
      </c>
      <c r="H24" s="119" t="s">
        <v>4411</v>
      </c>
      <c r="I24" s="119" t="s">
        <v>4412</v>
      </c>
      <c r="J24" s="119" t="s">
        <v>4413</v>
      </c>
      <c r="K24" s="119" t="s">
        <v>4414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</row>
    <row r="25" spans="1:23" ht="15" customHeight="1">
      <c r="A25" s="120" t="s">
        <v>43</v>
      </c>
      <c r="B25" s="121">
        <f>B2</f>
        <v>0</v>
      </c>
      <c r="C25" s="121" t="str">
        <f>IF(AND(ISNUMBER(sublimit1), sublimit1 &gt; 0),sublimit1,"")</f>
        <v/>
      </c>
      <c r="D25" s="122" t="e">
        <f>J25-K25</f>
        <v>#VALUE!</v>
      </c>
      <c r="E25" s="123">
        <f t="shared" ref="E25:E30" si="0">IF(RisikoFragen902="0",MAX(ROUND((B$22-$B$15)/(1-$B$15),4),0),MAX(ROUND((B$22-$B$15),4),0))</f>
        <v>0.4</v>
      </c>
      <c r="F25" s="124">
        <f>($B$14*$B$15/100)</f>
        <v>0</v>
      </c>
      <c r="G25" s="122" t="e">
        <f>'Arag-Tarif'!$C21</f>
        <v>#VALUE!</v>
      </c>
      <c r="H25" s="122" t="e">
        <f>IF(AND(ISNUMBER($B$2),ISNUMBER($C$2)),ROUND(G25*((B$20)*(100+B$21)*(100+$C$2)/100)/100,2),"-")</f>
        <v>#VALUE!</v>
      </c>
      <c r="I25" s="122">
        <f>IF(AND(ISNUMBER(sublimit1), sublimit1 &gt; 0),ROUND(B19*(C5+100)/100, 2),0)</f>
        <v>0</v>
      </c>
      <c r="J25" s="122" t="e">
        <f>H25+I25</f>
        <v>#VALUE!</v>
      </c>
      <c r="K25" s="122">
        <f t="shared" ref="K25:K30" si="1">IF(RisikoFragen902="0",ROUND(J25*$B$15,2),0)</f>
        <v>0</v>
      </c>
    </row>
    <row r="26" spans="1:23" ht="15" customHeight="1">
      <c r="A26" s="120" t="s">
        <v>45</v>
      </c>
      <c r="B26" s="121">
        <f>B2</f>
        <v>0</v>
      </c>
      <c r="D26" s="122" t="e">
        <f t="shared" ref="D26:D30" si="2">J26-K26</f>
        <v>#VALUE!</v>
      </c>
      <c r="E26" s="123">
        <f t="shared" si="0"/>
        <v>0.4</v>
      </c>
      <c r="F26" s="124">
        <f t="shared" ref="F26:F30" si="3">($B$14*$B$15/100)</f>
        <v>0</v>
      </c>
      <c r="G26" s="122" t="e">
        <f>'Arag-Tarif'!$C22</f>
        <v>#VALUE!</v>
      </c>
      <c r="H26" s="122" t="e">
        <f>IF(AND(ISNUMBER($B$2),ISNUMBER($C$2)),ROUND(G26*((B$20)*(100+B$21)*(100+$C$2)/100)/100,2),"-")</f>
        <v>#VALUE!</v>
      </c>
      <c r="I26" s="122"/>
      <c r="J26" s="122" t="e">
        <f t="shared" ref="J26:J30" si="4">H26+I26</f>
        <v>#VALUE!</v>
      </c>
      <c r="K26" s="122">
        <f t="shared" si="1"/>
        <v>0</v>
      </c>
    </row>
    <row r="27" spans="1:23" ht="15" customHeight="1">
      <c r="A27" s="120" t="s">
        <v>46</v>
      </c>
      <c r="B27" s="121">
        <f t="shared" ref="B27" si="5">B3</f>
        <v>0</v>
      </c>
      <c r="C27" s="121" t="str">
        <f>IF(AND(ISNUMBER(sublimit2), sublimit2 &gt; 0),sublimit2,"")</f>
        <v/>
      </c>
      <c r="D27" s="122" t="e">
        <f t="shared" si="2"/>
        <v>#VALUE!</v>
      </c>
      <c r="E27" s="123">
        <f t="shared" si="0"/>
        <v>0.4</v>
      </c>
      <c r="F27" s="124">
        <f t="shared" si="3"/>
        <v>0</v>
      </c>
      <c r="G27" s="122" t="e">
        <f>'Arag-Tarif'!$C23</f>
        <v>#VALUE!</v>
      </c>
      <c r="H27" s="122" t="e">
        <f>IF(AND(ISNUMBER($B$3),ISNUMBER($C$3)),ROUND(G27*((B$20)*(100+B$21)*(100+$C$3)/100)/100,2),"-")</f>
        <v>#VALUE!</v>
      </c>
      <c r="I27" s="122">
        <f>IF(AND(ISNUMBER(sublimit2), sublimit2 &gt; 0),ROUND(B19*(C6+100)/100, 2),0)</f>
        <v>0</v>
      </c>
      <c r="J27" s="122" t="e">
        <f t="shared" si="4"/>
        <v>#VALUE!</v>
      </c>
      <c r="K27" s="122">
        <f t="shared" si="1"/>
        <v>0</v>
      </c>
    </row>
    <row r="28" spans="1:23" ht="15" customHeight="1">
      <c r="A28" s="120" t="s">
        <v>47</v>
      </c>
      <c r="B28" s="121">
        <f t="shared" ref="B28:B29" si="6">B3</f>
        <v>0</v>
      </c>
      <c r="D28" s="122" t="e">
        <f t="shared" si="2"/>
        <v>#VALUE!</v>
      </c>
      <c r="E28" s="123">
        <f t="shared" si="0"/>
        <v>0.4</v>
      </c>
      <c r="F28" s="124">
        <f t="shared" si="3"/>
        <v>0</v>
      </c>
      <c r="G28" s="122" t="e">
        <f>'Arag-Tarif'!$C24</f>
        <v>#VALUE!</v>
      </c>
      <c r="H28" s="122" t="e">
        <f>IF(AND(ISNUMBER($B$3),ISNUMBER($C$3)),ROUND(G28*((B$20)*(100+B$21)*(100+$C$3)/100)/100,2),"-")</f>
        <v>#VALUE!</v>
      </c>
      <c r="I28" s="122"/>
      <c r="J28" s="122" t="e">
        <f t="shared" si="4"/>
        <v>#VALUE!</v>
      </c>
      <c r="K28" s="122">
        <f t="shared" si="1"/>
        <v>0</v>
      </c>
    </row>
    <row r="29" spans="1:23" ht="15" customHeight="1">
      <c r="A29" s="120" t="s">
        <v>48</v>
      </c>
      <c r="B29" s="121">
        <f t="shared" si="6"/>
        <v>0</v>
      </c>
      <c r="C29" s="121" t="str">
        <f>IF(AND(ISNUMBER(sublimit3), sublimit3 &gt; 0),sublimit3,"")</f>
        <v/>
      </c>
      <c r="D29" s="122" t="e">
        <f t="shared" si="2"/>
        <v>#VALUE!</v>
      </c>
      <c r="E29" s="123">
        <f t="shared" si="0"/>
        <v>0.4</v>
      </c>
      <c r="F29" s="124">
        <f t="shared" si="3"/>
        <v>0</v>
      </c>
      <c r="G29" s="122" t="e">
        <f>'Arag-Tarif'!$C25</f>
        <v>#VALUE!</v>
      </c>
      <c r="H29" s="122" t="e">
        <f>IF(AND(ISNUMBER($B$4),ISNUMBER($C$4)),ROUND(G29*((B$20)*(100+B$21)*(100+$C$4)/100)/100,2),"-")</f>
        <v>#VALUE!</v>
      </c>
      <c r="I29" s="122">
        <f>IF(AND(ISNUMBER(sublimit3), sublimit3 &gt; 0),ROUND(B19*(C7+100)/100, 2),0)</f>
        <v>0</v>
      </c>
      <c r="J29" s="122" t="e">
        <f t="shared" si="4"/>
        <v>#VALUE!</v>
      </c>
      <c r="K29" s="122">
        <f t="shared" si="1"/>
        <v>0</v>
      </c>
    </row>
    <row r="30" spans="1:23" ht="15" customHeight="1">
      <c r="A30" s="120" t="s">
        <v>49</v>
      </c>
      <c r="B30" s="121">
        <f>B4</f>
        <v>0</v>
      </c>
      <c r="D30" s="122" t="e">
        <f t="shared" si="2"/>
        <v>#VALUE!</v>
      </c>
      <c r="E30" s="123">
        <f t="shared" si="0"/>
        <v>0.4</v>
      </c>
      <c r="F30" s="124">
        <f t="shared" si="3"/>
        <v>0</v>
      </c>
      <c r="G30" s="122" t="e">
        <f>'Arag-Tarif'!$C26</f>
        <v>#VALUE!</v>
      </c>
      <c r="H30" s="122" t="e">
        <f>IF(AND(ISNUMBER($B$4),ISNUMBER($C$4)),ROUND(G30*((B$20)*(100+B$21)*(100+$C$4)/100)/100,2),"-")</f>
        <v>#VALUE!</v>
      </c>
      <c r="I30" s="122"/>
      <c r="J30" s="122" t="e">
        <f t="shared" si="4"/>
        <v>#VALUE!</v>
      </c>
      <c r="K30" s="122">
        <f t="shared" si="1"/>
        <v>0</v>
      </c>
    </row>
    <row r="31" spans="1:23" ht="15" customHeight="1">
      <c r="A31" s="125"/>
    </row>
    <row r="32" spans="1:23" ht="15" customHeight="1">
      <c r="A32" s="125"/>
    </row>
    <row r="33" spans="1:22" ht="15" customHeight="1">
      <c r="A33" s="125"/>
    </row>
    <row r="34" spans="1:22" ht="15" customHeight="1">
      <c r="A34" s="125"/>
    </row>
    <row r="35" spans="1:22" ht="15" customHeight="1">
      <c r="A35" s="125"/>
    </row>
    <row r="36" spans="1:22">
      <c r="A36" s="125"/>
    </row>
    <row r="37" spans="1:22">
      <c r="A37" s="125"/>
    </row>
    <row r="38" spans="1:22">
      <c r="A38" s="125"/>
    </row>
    <row r="39" spans="1:22">
      <c r="A39" s="125"/>
    </row>
    <row r="40" spans="1:22">
      <c r="A40" s="125"/>
    </row>
    <row r="41" spans="1:22">
      <c r="A41" s="125"/>
    </row>
    <row r="42" spans="1:22">
      <c r="A42" s="125"/>
    </row>
    <row r="43" spans="1:22">
      <c r="A43" s="125"/>
    </row>
    <row r="44" spans="1:22">
      <c r="A44" s="125"/>
    </row>
    <row r="45" spans="1:22">
      <c r="A45" s="125"/>
    </row>
    <row r="46" spans="1:22">
      <c r="A46" s="125"/>
    </row>
    <row r="47" spans="1:22">
      <c r="A47" s="125"/>
    </row>
    <row r="48" spans="1:22">
      <c r="A48" s="12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</row>
    <row r="49" spans="1:22">
      <c r="A49" s="12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</row>
    <row r="50" spans="1:22">
      <c r="A50" s="12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</row>
    <row r="51" spans="1:22">
      <c r="A51" s="12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</row>
    <row r="52" spans="1:22">
      <c r="A52" s="12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</row>
    <row r="53" spans="1:22">
      <c r="A53" s="12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</row>
    <row r="54" spans="1:22">
      <c r="A54" s="12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</row>
    <row r="55" spans="1:22">
      <c r="A55" s="12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</row>
    <row r="56" spans="1:22">
      <c r="A56" s="12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</row>
    <row r="57" spans="1:22">
      <c r="A57" s="12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</row>
    <row r="58" spans="1:22">
      <c r="A58" s="12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</row>
    <row r="59" spans="1:22">
      <c r="A59" s="12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</row>
    <row r="60" spans="1:22">
      <c r="A60" s="12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</row>
    <row r="61" spans="1:22">
      <c r="A61" s="12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</row>
    <row r="62" spans="1:22">
      <c r="A62" s="12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</row>
    <row r="63" spans="1:22">
      <c r="A63" s="12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</row>
    <row r="64" spans="1:22">
      <c r="A64" s="12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</row>
    <row r="65" spans="1:22">
      <c r="A65" s="12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</row>
    <row r="66" spans="1:22">
      <c r="A66" s="12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</row>
    <row r="67" spans="1:22">
      <c r="A67" s="12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</row>
    <row r="68" spans="1:22">
      <c r="A68" s="12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</row>
    <row r="69" spans="1:22">
      <c r="A69" s="12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</row>
    <row r="70" spans="1:22">
      <c r="A70" s="12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</row>
    <row r="71" spans="1:22">
      <c r="A71" s="12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</row>
    <row r="72" spans="1:22">
      <c r="A72" s="12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</row>
    <row r="73" spans="1:22">
      <c r="A73" s="12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</row>
    <row r="74" spans="1:22">
      <c r="A74" s="12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</row>
    <row r="75" spans="1:22">
      <c r="A75" s="12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</row>
    <row r="76" spans="1:22">
      <c r="A76" s="12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</row>
    <row r="77" spans="1:22">
      <c r="A77" s="12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</row>
    <row r="78" spans="1:22">
      <c r="A78" s="12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</row>
    <row r="79" spans="1:22">
      <c r="A79" s="12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</row>
    <row r="80" spans="1:22">
      <c r="A80" s="12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</row>
    <row r="81" spans="1:22">
      <c r="A81" s="12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</row>
    <row r="82" spans="1:22">
      <c r="A82" s="12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</row>
    <row r="83" spans="1:22">
      <c r="A83" s="12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</row>
    <row r="84" spans="1:22">
      <c r="A84" s="12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</row>
    <row r="85" spans="1:22">
      <c r="A85" s="12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</row>
    <row r="86" spans="1:22">
      <c r="A86" s="12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</row>
    <row r="87" spans="1:22">
      <c r="A87" s="12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</row>
    <row r="88" spans="1:22">
      <c r="A88" s="12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</row>
    <row r="89" spans="1:22">
      <c r="A89" s="12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</row>
    <row r="90" spans="1:22">
      <c r="A90" s="12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</row>
    <row r="91" spans="1:22">
      <c r="A91" s="12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</row>
    <row r="92" spans="1:22">
      <c r="A92" s="12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</row>
    <row r="93" spans="1:22">
      <c r="A93" s="12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</row>
    <row r="94" spans="1:22">
      <c r="A94" s="12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</row>
    <row r="95" spans="1:22">
      <c r="A95" s="12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</row>
    <row r="96" spans="1:22">
      <c r="A96" s="12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</row>
    <row r="97" spans="1:22">
      <c r="A97" s="12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</row>
    <row r="98" spans="1:22">
      <c r="A98" s="12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</row>
    <row r="99" spans="1:22">
      <c r="A99" s="12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</row>
    <row r="100" spans="1:22">
      <c r="A100" s="12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</row>
    <row r="101" spans="1:22">
      <c r="A101" s="12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</row>
    <row r="102" spans="1:22">
      <c r="A102" s="12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</row>
    <row r="103" spans="1:22">
      <c r="A103" s="12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</row>
    <row r="104" spans="1:22">
      <c r="A104" s="12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</row>
    <row r="105" spans="1:22">
      <c r="A105" s="12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</row>
    <row r="106" spans="1:22">
      <c r="A106" s="12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</row>
    <row r="107" spans="1:22">
      <c r="A107" s="12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</row>
    <row r="108" spans="1:22">
      <c r="A108" s="12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</row>
    <row r="109" spans="1:22">
      <c r="A109" s="12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</row>
    <row r="110" spans="1:22">
      <c r="A110" s="12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</row>
    <row r="111" spans="1:22">
      <c r="A111" s="12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</row>
    <row r="112" spans="1:22">
      <c r="A112" s="12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</row>
    <row r="113" spans="1:22">
      <c r="A113" s="12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</row>
    <row r="114" spans="1:22">
      <c r="A114" s="12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</row>
    <row r="115" spans="1:22">
      <c r="A115" s="12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</row>
    <row r="116" spans="1:22">
      <c r="A116" s="12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</row>
    <row r="117" spans="1:22">
      <c r="A117" s="12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</row>
    <row r="118" spans="1:22">
      <c r="A118" s="12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</row>
    <row r="119" spans="1:22">
      <c r="A119" s="12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</row>
    <row r="120" spans="1:22">
      <c r="A120" s="12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</row>
    <row r="121" spans="1:22">
      <c r="A121" s="12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</row>
    <row r="122" spans="1:22">
      <c r="A122" s="12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</row>
    <row r="123" spans="1:22">
      <c r="A123" s="12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</row>
    <row r="124" spans="1:22">
      <c r="A124" s="12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</row>
    <row r="125" spans="1:22">
      <c r="A125" s="12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</row>
    <row r="126" spans="1:22">
      <c r="A126" s="12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</row>
    <row r="127" spans="1:22">
      <c r="A127" s="12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</row>
    <row r="128" spans="1:22">
      <c r="A128" s="12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</row>
    <row r="129" spans="1:22">
      <c r="A129" s="12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</row>
    <row r="130" spans="1:22">
      <c r="A130" s="12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</row>
    <row r="131" spans="1:22">
      <c r="A131" s="12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</row>
    <row r="132" spans="1:22">
      <c r="A132" s="12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</row>
    <row r="133" spans="1:22">
      <c r="A133" s="12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</row>
    <row r="134" spans="1:22">
      <c r="A134" s="12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</row>
    <row r="135" spans="1:22">
      <c r="A135" s="12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</row>
    <row r="136" spans="1:22">
      <c r="A136" s="12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</row>
    <row r="137" spans="1:22">
      <c r="A137" s="12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</row>
    <row r="138" spans="1:22">
      <c r="A138" s="12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</row>
    <row r="139" spans="1:22">
      <c r="A139" s="12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</row>
    <row r="140" spans="1:22">
      <c r="A140" s="12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</row>
    <row r="141" spans="1:22">
      <c r="A141" s="12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</row>
    <row r="142" spans="1:22">
      <c r="A142" s="12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</row>
    <row r="143" spans="1:22">
      <c r="A143" s="12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</row>
    <row r="144" spans="1:22">
      <c r="A144" s="12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</row>
    <row r="145" spans="1:22">
      <c r="A145" s="12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</row>
    <row r="146" spans="1:22">
      <c r="A146" s="12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</row>
    <row r="147" spans="1:22">
      <c r="A147" s="12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</row>
    <row r="148" spans="1:22">
      <c r="A148" s="12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</row>
    <row r="149" spans="1:22">
      <c r="A149" s="12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</row>
    <row r="150" spans="1:22">
      <c r="A150" s="12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</row>
    <row r="151" spans="1:22">
      <c r="A151" s="12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</row>
    <row r="152" spans="1:22">
      <c r="A152" s="12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</row>
    <row r="153" spans="1:22">
      <c r="A153" s="12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</row>
    <row r="154" spans="1:22">
      <c r="A154" s="12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</row>
    <row r="155" spans="1:22">
      <c r="A155" s="12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</row>
    <row r="156" spans="1:22">
      <c r="A156" s="12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</row>
    <row r="157" spans="1:22">
      <c r="A157" s="12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</row>
    <row r="158" spans="1:22">
      <c r="A158" s="12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</row>
    <row r="159" spans="1:22">
      <c r="A159" s="12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</row>
    <row r="160" spans="1:22">
      <c r="A160" s="12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</row>
    <row r="161" spans="1:22">
      <c r="A161" s="12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</row>
    <row r="162" spans="1:22">
      <c r="A162" s="12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</row>
    <row r="163" spans="1:22">
      <c r="A163" s="12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</row>
    <row r="164" spans="1:22">
      <c r="A164" s="12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</row>
    <row r="165" spans="1:22">
      <c r="A165" s="12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</row>
    <row r="166" spans="1:22">
      <c r="A166" s="12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</row>
    <row r="167" spans="1:22">
      <c r="A167" s="12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</row>
    <row r="168" spans="1:22">
      <c r="A168" s="12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</row>
    <row r="169" spans="1:22">
      <c r="A169" s="12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</row>
    <row r="170" spans="1:22">
      <c r="A170" s="12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</row>
    <row r="171" spans="1:22">
      <c r="A171" s="12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</row>
    <row r="172" spans="1:22">
      <c r="A172" s="12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</row>
    <row r="173" spans="1:22">
      <c r="A173" s="12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</row>
    <row r="174" spans="1:22">
      <c r="A174" s="12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</row>
    <row r="175" spans="1:22">
      <c r="A175" s="12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</row>
    <row r="176" spans="1:22">
      <c r="A176" s="12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</row>
    <row r="177" spans="1:22">
      <c r="A177" s="12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</row>
    <row r="178" spans="1:22">
      <c r="A178" s="12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</row>
    <row r="179" spans="1:22">
      <c r="A179" s="12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</row>
    <row r="180" spans="1:22">
      <c r="A180" s="12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</row>
    <row r="181" spans="1:22">
      <c r="A181" s="12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</row>
    <row r="182" spans="1:22">
      <c r="A182" s="12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</row>
    <row r="183" spans="1:22">
      <c r="A183" s="12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</row>
    <row r="184" spans="1:22">
      <c r="A184" s="12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</row>
    <row r="185" spans="1:22">
      <c r="A185" s="12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</row>
    <row r="186" spans="1:22">
      <c r="A186" s="12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</row>
    <row r="187" spans="1:22">
      <c r="A187" s="12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</row>
    <row r="188" spans="1:22">
      <c r="A188" s="12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</row>
    <row r="189" spans="1:22">
      <c r="A189" s="12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</row>
    <row r="190" spans="1:22">
      <c r="A190" s="12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</row>
    <row r="191" spans="1:22">
      <c r="A191" s="12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</row>
    <row r="192" spans="1:22">
      <c r="A192" s="12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</row>
    <row r="193" spans="1:22">
      <c r="A193" s="12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</row>
    <row r="194" spans="1:22">
      <c r="A194" s="12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</row>
    <row r="195" spans="1:22">
      <c r="A195" s="12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</row>
    <row r="196" spans="1:22">
      <c r="A196" s="12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</row>
    <row r="197" spans="1:22">
      <c r="A197" s="12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</row>
    <row r="198" spans="1:22">
      <c r="A198" s="12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</row>
    <row r="199" spans="1:22">
      <c r="A199" s="12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</row>
    <row r="200" spans="1:22">
      <c r="A200" s="12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</row>
    <row r="201" spans="1:22">
      <c r="A201" s="12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</row>
    <row r="202" spans="1:22">
      <c r="A202" s="12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</row>
    <row r="203" spans="1:22">
      <c r="A203" s="12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</row>
    <row r="204" spans="1:22">
      <c r="A204" s="12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</row>
    <row r="205" spans="1:22">
      <c r="A205" s="12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</row>
    <row r="206" spans="1:22">
      <c r="A206" s="12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</row>
    <row r="207" spans="1:22">
      <c r="A207" s="12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</row>
    <row r="208" spans="1:22">
      <c r="A208" s="12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</row>
    <row r="209" spans="1:22">
      <c r="A209" s="12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</row>
    <row r="210" spans="1:22">
      <c r="A210" s="12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</row>
    <row r="211" spans="1:22">
      <c r="A211" s="12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</row>
    <row r="212" spans="1:22">
      <c r="A212" s="12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</row>
    <row r="213" spans="1:22">
      <c r="A213" s="12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</row>
    <row r="214" spans="1:22">
      <c r="A214" s="12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</row>
    <row r="215" spans="1:22">
      <c r="A215" s="12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</row>
    <row r="216" spans="1:22">
      <c r="A216" s="12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</row>
    <row r="217" spans="1:22">
      <c r="A217" s="12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</row>
    <row r="218" spans="1:22">
      <c r="A218" s="12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</row>
    <row r="219" spans="1:22">
      <c r="A219" s="12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</row>
    <row r="220" spans="1:22">
      <c r="A220" s="12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</row>
    <row r="221" spans="1:22">
      <c r="A221" s="12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</row>
    <row r="222" spans="1:22">
      <c r="A222" s="12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</row>
    <row r="223" spans="1:22">
      <c r="A223" s="12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</row>
    <row r="224" spans="1:22">
      <c r="A224" s="12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</row>
    <row r="225" spans="1:22">
      <c r="A225" s="12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</row>
    <row r="226" spans="1:22">
      <c r="A226" s="12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</row>
    <row r="227" spans="1:22">
      <c r="A227" s="12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</row>
    <row r="228" spans="1:22">
      <c r="A228" s="12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</row>
    <row r="229" spans="1:22">
      <c r="A229" s="12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</row>
    <row r="230" spans="1:22">
      <c r="A230" s="12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</row>
    <row r="231" spans="1:22">
      <c r="A231" s="12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</row>
    <row r="232" spans="1:22">
      <c r="A232" s="12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</row>
    <row r="233" spans="1:22">
      <c r="A233" s="12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</row>
    <row r="234" spans="1:22">
      <c r="A234" s="12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</row>
    <row r="235" spans="1:22">
      <c r="A235" s="12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</row>
    <row r="236" spans="1:22">
      <c r="A236" s="12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</row>
    <row r="237" spans="1:22">
      <c r="A237" s="12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</row>
    <row r="238" spans="1:22">
      <c r="A238" s="12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</row>
    <row r="239" spans="1:22">
      <c r="A239" s="12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</row>
    <row r="240" spans="1:22">
      <c r="A240" s="12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</row>
    <row r="241" spans="1:22">
      <c r="A241" s="12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</row>
    <row r="242" spans="1:22">
      <c r="A242" s="12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</row>
    <row r="243" spans="1:22">
      <c r="A243" s="12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</row>
    <row r="244" spans="1:22">
      <c r="A244" s="12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</row>
    <row r="245" spans="1:22">
      <c r="A245" s="12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</row>
    <row r="246" spans="1:22">
      <c r="A246" s="12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</row>
    <row r="247" spans="1:22">
      <c r="A247" s="12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</row>
    <row r="248" spans="1:22">
      <c r="A248" s="12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</row>
    <row r="249" spans="1:22">
      <c r="A249" s="12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</row>
    <row r="250" spans="1:22">
      <c r="A250" s="12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</row>
    <row r="251" spans="1:22">
      <c r="A251" s="12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</row>
    <row r="252" spans="1:22">
      <c r="A252" s="12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</row>
    <row r="253" spans="1:22">
      <c r="A253" s="12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</row>
    <row r="254" spans="1:22">
      <c r="A254" s="12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</row>
    <row r="255" spans="1:22">
      <c r="A255" s="12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</row>
    <row r="256" spans="1:22">
      <c r="A256" s="12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</row>
    <row r="257" spans="1:22">
      <c r="A257" s="12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</row>
    <row r="258" spans="1:22">
      <c r="A258" s="12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</row>
    <row r="259" spans="1:22">
      <c r="A259" s="12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</row>
    <row r="260" spans="1:22">
      <c r="A260" s="12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</row>
    <row r="261" spans="1:22">
      <c r="A261" s="12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</row>
    <row r="262" spans="1:22">
      <c r="A262" s="12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</row>
    <row r="263" spans="1:22">
      <c r="A263" s="12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</row>
    <row r="264" spans="1:22">
      <c r="A264" s="12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</row>
    <row r="265" spans="1:22">
      <c r="A265" s="12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</row>
    <row r="266" spans="1:22">
      <c r="A266" s="12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</row>
    <row r="267" spans="1:22">
      <c r="A267" s="12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</row>
    <row r="268" spans="1:22">
      <c r="A268" s="12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</row>
    <row r="269" spans="1:22">
      <c r="A269" s="12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</row>
    <row r="270" spans="1:22">
      <c r="A270" s="12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</row>
    <row r="271" spans="1:22">
      <c r="A271" s="12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</row>
    <row r="272" spans="1:22">
      <c r="A272" s="12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</row>
    <row r="273" spans="1:22">
      <c r="A273" s="12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</row>
    <row r="274" spans="1:22">
      <c r="A274" s="12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</row>
    <row r="275" spans="1:22">
      <c r="A275" s="12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</row>
    <row r="276" spans="1:22">
      <c r="A276" s="12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</row>
    <row r="277" spans="1:22">
      <c r="A277" s="12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</row>
    <row r="278" spans="1:22">
      <c r="A278" s="12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</row>
    <row r="279" spans="1:22">
      <c r="A279" s="12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</row>
    <row r="280" spans="1:22">
      <c r="A280" s="12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</row>
    <row r="281" spans="1:22">
      <c r="A281" s="12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</row>
    <row r="282" spans="1:22">
      <c r="A282" s="12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</row>
    <row r="283" spans="1:22">
      <c r="A283" s="12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</row>
    <row r="284" spans="1:22">
      <c r="A284" s="12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</row>
    <row r="285" spans="1:22">
      <c r="A285" s="12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</row>
    <row r="286" spans="1:22">
      <c r="A286" s="12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</row>
    <row r="287" spans="1:22">
      <c r="A287" s="12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</row>
    <row r="288" spans="1:22">
      <c r="A288" s="12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</row>
    <row r="289" spans="1:22">
      <c r="A289" s="12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</row>
    <row r="290" spans="1:22">
      <c r="A290" s="12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</row>
    <row r="291" spans="1:22">
      <c r="A291" s="12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</row>
    <row r="292" spans="1:22">
      <c r="A292" s="12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</row>
    <row r="293" spans="1:22">
      <c r="A293" s="12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</row>
    <row r="294" spans="1:22">
      <c r="A294" s="12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</row>
    <row r="295" spans="1:22">
      <c r="A295" s="12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</row>
    <row r="296" spans="1:22">
      <c r="A296" s="12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</row>
    <row r="297" spans="1:22">
      <c r="A297" s="12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</row>
    <row r="298" spans="1:22">
      <c r="A298" s="12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</row>
    <row r="299" spans="1:22">
      <c r="A299" s="12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</row>
    <row r="300" spans="1:22">
      <c r="A300" s="12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</row>
    <row r="301" spans="1:22">
      <c r="A301" s="12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</row>
    <row r="302" spans="1:22">
      <c r="A302" s="12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</row>
    <row r="303" spans="1:22">
      <c r="A303" s="12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</row>
    <row r="304" spans="1:22">
      <c r="A304" s="12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</row>
    <row r="305" spans="1:22">
      <c r="A305" s="12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</row>
    <row r="306" spans="1:22">
      <c r="A306" s="12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</row>
    <row r="307" spans="1:22">
      <c r="A307" s="12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</row>
    <row r="308" spans="1:22">
      <c r="A308" s="12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</row>
    <row r="309" spans="1:22">
      <c r="A309" s="12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</row>
    <row r="310" spans="1:22">
      <c r="A310" s="12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</row>
    <row r="311" spans="1:22">
      <c r="A311" s="12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</row>
    <row r="312" spans="1:22">
      <c r="A312" s="12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</row>
    <row r="313" spans="1:22">
      <c r="A313" s="12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</row>
    <row r="314" spans="1:22">
      <c r="A314" s="12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</row>
    <row r="315" spans="1:22">
      <c r="A315" s="12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</row>
    <row r="316" spans="1:22">
      <c r="A316" s="12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</row>
    <row r="317" spans="1:22">
      <c r="A317" s="12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</row>
    <row r="318" spans="1:22">
      <c r="A318" s="12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</row>
    <row r="319" spans="1:22">
      <c r="A319" s="12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</row>
    <row r="320" spans="1:22">
      <c r="A320" s="12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</row>
    <row r="321" spans="1:22">
      <c r="A321" s="12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</row>
    <row r="322" spans="1:22">
      <c r="A322" s="12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</row>
    <row r="323" spans="1:22">
      <c r="A323" s="12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</row>
    <row r="324" spans="1:22">
      <c r="A324" s="12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</row>
    <row r="325" spans="1:22">
      <c r="A325" s="12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</row>
    <row r="326" spans="1:22">
      <c r="A326" s="12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</row>
    <row r="327" spans="1:22">
      <c r="A327" s="12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</row>
    <row r="328" spans="1:22">
      <c r="A328" s="12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</row>
    <row r="329" spans="1:22">
      <c r="A329" s="12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</row>
    <row r="330" spans="1:22">
      <c r="A330" s="12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</row>
    <row r="331" spans="1:22">
      <c r="A331" s="12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</row>
    <row r="332" spans="1:22">
      <c r="A332" s="12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</row>
    <row r="333" spans="1:22">
      <c r="A333" s="12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</row>
    <row r="334" spans="1:22">
      <c r="A334" s="12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</row>
    <row r="335" spans="1:22">
      <c r="A335" s="12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</row>
    <row r="336" spans="1:22">
      <c r="A336" s="12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</row>
    <row r="337" spans="1:22">
      <c r="A337" s="12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</row>
    <row r="338" spans="1:22">
      <c r="A338" s="12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</row>
    <row r="339" spans="1:22">
      <c r="A339" s="12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</row>
    <row r="340" spans="1:22">
      <c r="A340" s="12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</row>
    <row r="341" spans="1:22">
      <c r="A341" s="12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</row>
    <row r="342" spans="1:22">
      <c r="A342" s="12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</row>
    <row r="343" spans="1:22">
      <c r="A343" s="12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</row>
    <row r="344" spans="1:22">
      <c r="A344" s="12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</row>
    <row r="345" spans="1:22">
      <c r="A345" s="12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</row>
    <row r="346" spans="1:22">
      <c r="A346" s="12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</row>
    <row r="347" spans="1:22">
      <c r="A347" s="12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</row>
    <row r="348" spans="1:22">
      <c r="A348" s="12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</row>
    <row r="349" spans="1:22">
      <c r="A349" s="12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</row>
    <row r="350" spans="1:22">
      <c r="A350" s="12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</row>
    <row r="351" spans="1:22">
      <c r="A351" s="12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</row>
    <row r="352" spans="1:22">
      <c r="A352" s="12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</row>
    <row r="353" spans="1:22">
      <c r="A353" s="12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</row>
    <row r="354" spans="1:22">
      <c r="A354" s="12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</row>
    <row r="355" spans="1:22">
      <c r="A355" s="12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</row>
    <row r="356" spans="1:22">
      <c r="A356" s="12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</row>
    <row r="357" spans="1:22">
      <c r="A357" s="12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</row>
    <row r="358" spans="1:22">
      <c r="A358" s="12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</row>
    <row r="359" spans="1:22">
      <c r="A359" s="12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</row>
    <row r="360" spans="1:22">
      <c r="A360" s="12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</row>
    <row r="361" spans="1:22">
      <c r="A361" s="12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</row>
    <row r="362" spans="1:22">
      <c r="A362" s="12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</row>
    <row r="363" spans="1:22">
      <c r="A363" s="12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</row>
    <row r="364" spans="1:22">
      <c r="A364" s="12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</row>
    <row r="365" spans="1:22">
      <c r="A365" s="12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</row>
    <row r="366" spans="1:22">
      <c r="A366" s="12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</row>
    <row r="367" spans="1:22">
      <c r="A367" s="12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</row>
    <row r="368" spans="1:22">
      <c r="A368" s="12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</row>
    <row r="369" spans="1:22">
      <c r="A369" s="12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</row>
    <row r="370" spans="1:22">
      <c r="A370" s="12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</row>
    <row r="371" spans="1:22">
      <c r="A371" s="12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</row>
    <row r="372" spans="1:22">
      <c r="A372" s="12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</row>
    <row r="373" spans="1:22">
      <c r="A373" s="12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</row>
    <row r="374" spans="1:22">
      <c r="A374" s="12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</row>
    <row r="375" spans="1:22">
      <c r="A375" s="12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</row>
    <row r="376" spans="1:22">
      <c r="A376" s="12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</row>
    <row r="377" spans="1:22">
      <c r="A377" s="12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</row>
    <row r="378" spans="1:22">
      <c r="A378" s="12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</row>
    <row r="379" spans="1:22">
      <c r="A379" s="12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</row>
    <row r="380" spans="1:22">
      <c r="A380" s="12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</row>
    <row r="381" spans="1:22">
      <c r="A381" s="12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</row>
    <row r="382" spans="1:22">
      <c r="A382" s="12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</row>
    <row r="383" spans="1:22">
      <c r="A383" s="12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</row>
    <row r="384" spans="1:22">
      <c r="A384" s="12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</row>
    <row r="385" spans="1:22">
      <c r="A385" s="12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</row>
    <row r="386" spans="1:22">
      <c r="A386" s="12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</row>
    <row r="387" spans="1:22">
      <c r="A387" s="12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</row>
    <row r="388" spans="1:22">
      <c r="A388" s="12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</row>
    <row r="389" spans="1:22">
      <c r="A389" s="12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</row>
    <row r="390" spans="1:22">
      <c r="A390" s="12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</row>
    <row r="391" spans="1:22">
      <c r="A391" s="12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</row>
    <row r="392" spans="1:22">
      <c r="A392" s="12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</row>
    <row r="393" spans="1:22">
      <c r="A393" s="12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</row>
    <row r="394" spans="1:22">
      <c r="A394" s="12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</row>
    <row r="395" spans="1:22">
      <c r="A395" s="12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</row>
    <row r="396" spans="1:22">
      <c r="A396" s="12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</row>
    <row r="397" spans="1:22">
      <c r="A397" s="12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</row>
    <row r="398" spans="1:22">
      <c r="A398" s="12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</row>
    <row r="399" spans="1:22">
      <c r="A399" s="12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</row>
    <row r="400" spans="1:22">
      <c r="A400" s="12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</row>
    <row r="401" spans="1:22">
      <c r="A401" s="12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</row>
    <row r="402" spans="1:22">
      <c r="A402" s="12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</row>
    <row r="403" spans="1:22">
      <c r="A403" s="12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</row>
    <row r="404" spans="1:22">
      <c r="A404" s="12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</row>
    <row r="405" spans="1:22">
      <c r="A405" s="12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</row>
    <row r="406" spans="1:22">
      <c r="A406" s="12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</row>
    <row r="407" spans="1:22">
      <c r="A407" s="12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</row>
    <row r="408" spans="1:22">
      <c r="A408" s="12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</row>
    <row r="409" spans="1:22">
      <c r="A409" s="12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</row>
    <row r="410" spans="1:22">
      <c r="A410" s="12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</row>
    <row r="411" spans="1:22">
      <c r="A411" s="12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</row>
    <row r="412" spans="1:22">
      <c r="A412" s="12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</row>
    <row r="413" spans="1:22">
      <c r="A413" s="12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</row>
    <row r="414" spans="1:22">
      <c r="A414" s="12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</row>
    <row r="415" spans="1:22">
      <c r="A415" s="12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</row>
    <row r="416" spans="1:22">
      <c r="A416" s="12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</row>
    <row r="417" spans="1:22">
      <c r="A417" s="12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</row>
    <row r="418" spans="1:22">
      <c r="A418" s="12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</row>
    <row r="419" spans="1:22">
      <c r="A419" s="12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</row>
    <row r="420" spans="1:22">
      <c r="A420" s="12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</row>
    <row r="421" spans="1:22">
      <c r="A421" s="12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</row>
    <row r="422" spans="1:22">
      <c r="A422" s="12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</row>
    <row r="423" spans="1:22">
      <c r="A423" s="12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</row>
    <row r="424" spans="1:22">
      <c r="A424" s="12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</row>
    <row r="425" spans="1:22">
      <c r="A425" s="12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</row>
    <row r="426" spans="1:22">
      <c r="A426" s="12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</row>
    <row r="427" spans="1:22">
      <c r="A427" s="12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</row>
    <row r="428" spans="1:22">
      <c r="A428" s="12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</row>
    <row r="429" spans="1:22">
      <c r="A429" s="12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</row>
    <row r="430" spans="1:22">
      <c r="A430" s="12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</row>
    <row r="431" spans="1:22">
      <c r="A431" s="12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</row>
    <row r="432" spans="1:22">
      <c r="A432" s="12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</row>
    <row r="433" spans="1:22">
      <c r="A433" s="12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</row>
    <row r="434" spans="1:22">
      <c r="A434" s="12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</row>
    <row r="435" spans="1:22">
      <c r="A435" s="12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</row>
    <row r="436" spans="1:22">
      <c r="A436" s="12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</row>
    <row r="437" spans="1:22">
      <c r="A437" s="12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</row>
    <row r="438" spans="1:22">
      <c r="A438" s="12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</row>
    <row r="439" spans="1:22">
      <c r="A439" s="12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</row>
    <row r="440" spans="1:22">
      <c r="A440" s="12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</row>
    <row r="441" spans="1:22">
      <c r="A441" s="12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</row>
    <row r="442" spans="1:22">
      <c r="A442" s="12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</row>
    <row r="443" spans="1:22">
      <c r="A443" s="12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</row>
    <row r="444" spans="1:22">
      <c r="A444" s="12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</row>
    <row r="445" spans="1:22">
      <c r="A445" s="12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</row>
    <row r="446" spans="1:22">
      <c r="A446" s="12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</row>
    <row r="447" spans="1:22">
      <c r="A447" s="12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</row>
    <row r="448" spans="1:22">
      <c r="A448" s="12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</row>
    <row r="449" spans="1:22">
      <c r="A449" s="12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</row>
    <row r="450" spans="1:22">
      <c r="A450" s="12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</row>
    <row r="451" spans="1:22">
      <c r="A451" s="12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</row>
    <row r="452" spans="1:22">
      <c r="A452" s="12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</row>
    <row r="453" spans="1:22">
      <c r="A453" s="12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</row>
    <row r="454" spans="1:22">
      <c r="A454" s="12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</row>
    <row r="455" spans="1:22">
      <c r="A455" s="12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</row>
    <row r="456" spans="1:22">
      <c r="A456" s="12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</row>
    <row r="457" spans="1:22">
      <c r="A457" s="12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</row>
    <row r="458" spans="1:22">
      <c r="A458" s="12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</row>
    <row r="459" spans="1:22">
      <c r="A459" s="12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</row>
    <row r="460" spans="1:22">
      <c r="A460" s="12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</row>
    <row r="461" spans="1:22">
      <c r="A461" s="12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</row>
    <row r="462" spans="1:22">
      <c r="A462" s="12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</row>
    <row r="463" spans="1:22">
      <c r="A463" s="12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</row>
    <row r="464" spans="1:22">
      <c r="A464" s="12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</row>
    <row r="465" spans="1:22">
      <c r="A465" s="12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</row>
    <row r="466" spans="1:22">
      <c r="A466" s="12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</row>
    <row r="467" spans="1:22">
      <c r="A467" s="12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</row>
    <row r="468" spans="1:22">
      <c r="A468" s="12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</row>
    <row r="469" spans="1:22">
      <c r="A469" s="12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</row>
    <row r="470" spans="1:22">
      <c r="A470" s="12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</row>
    <row r="471" spans="1:22">
      <c r="A471" s="12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</row>
    <row r="472" spans="1:22">
      <c r="A472" s="12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</row>
    <row r="473" spans="1:22">
      <c r="A473" s="12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</row>
    <row r="474" spans="1:22">
      <c r="A474" s="12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</row>
    <row r="475" spans="1:22">
      <c r="A475" s="12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</row>
    <row r="476" spans="1:22">
      <c r="A476" s="12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</row>
    <row r="477" spans="1:22">
      <c r="A477" s="12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</row>
    <row r="478" spans="1:22">
      <c r="A478" s="12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</row>
    <row r="479" spans="1:22">
      <c r="A479" s="12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</row>
    <row r="480" spans="1:22">
      <c r="A480" s="12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</row>
    <row r="481" spans="1:22">
      <c r="A481" s="12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</row>
    <row r="482" spans="1:22">
      <c r="A482" s="12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</row>
    <row r="483" spans="1:22">
      <c r="A483" s="12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</row>
    <row r="484" spans="1:22">
      <c r="A484" s="12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</row>
    <row r="485" spans="1:22">
      <c r="A485" s="12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</row>
    <row r="486" spans="1:22">
      <c r="A486" s="12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</row>
    <row r="487" spans="1:22">
      <c r="A487" s="12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</row>
    <row r="488" spans="1:22">
      <c r="A488" s="12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</row>
    <row r="489" spans="1:22">
      <c r="A489" s="12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</row>
    <row r="490" spans="1:22">
      <c r="A490" s="12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</row>
    <row r="491" spans="1:22">
      <c r="A491" s="12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</row>
    <row r="492" spans="1:22">
      <c r="A492" s="12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</row>
    <row r="493" spans="1:22">
      <c r="A493" s="12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</row>
    <row r="494" spans="1:22">
      <c r="A494" s="12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</row>
    <row r="495" spans="1:22">
      <c r="A495" s="12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</row>
    <row r="496" spans="1:22">
      <c r="A496" s="12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</row>
    <row r="497" spans="1:22">
      <c r="A497" s="12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</row>
    <row r="498" spans="1:22">
      <c r="A498" s="12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</row>
    <row r="499" spans="1:22">
      <c r="A499" s="12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</row>
    <row r="500" spans="1:22">
      <c r="A500" s="12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</row>
    <row r="501" spans="1:22">
      <c r="A501" s="12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</row>
    <row r="502" spans="1:22">
      <c r="A502" s="12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</row>
    <row r="503" spans="1:22">
      <c r="A503" s="12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</row>
    <row r="504" spans="1:22">
      <c r="A504" s="12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</row>
    <row r="505" spans="1:22">
      <c r="A505" s="12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</row>
    <row r="506" spans="1:22">
      <c r="A506" s="12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</row>
    <row r="507" spans="1:22">
      <c r="A507" s="12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</row>
    <row r="508" spans="1:22">
      <c r="A508" s="12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</row>
    <row r="509" spans="1:22">
      <c r="A509" s="12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</row>
    <row r="510" spans="1:22">
      <c r="A510" s="12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</row>
    <row r="511" spans="1:22">
      <c r="A511" s="12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</row>
    <row r="512" spans="1:22">
      <c r="A512" s="12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</row>
    <row r="513" spans="1:22">
      <c r="A513" s="12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</row>
    <row r="514" spans="1:22">
      <c r="A514" s="12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</row>
    <row r="515" spans="1:22">
      <c r="A515" s="12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</row>
    <row r="516" spans="1:22">
      <c r="A516" s="12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</row>
    <row r="517" spans="1:22">
      <c r="A517" s="12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</row>
    <row r="518" spans="1:22">
      <c r="A518" s="12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</row>
    <row r="519" spans="1:22">
      <c r="A519" s="12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</row>
    <row r="520" spans="1:22">
      <c r="A520" s="12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</row>
    <row r="521" spans="1:22">
      <c r="A521" s="12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</row>
    <row r="522" spans="1:22">
      <c r="A522" s="12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</row>
    <row r="523" spans="1:22">
      <c r="A523" s="12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</row>
    <row r="524" spans="1:22">
      <c r="A524" s="12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</row>
    <row r="525" spans="1:22">
      <c r="A525" s="12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</row>
    <row r="526" spans="1:22">
      <c r="A526" s="12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</row>
    <row r="527" spans="1:22">
      <c r="A527" s="12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</row>
    <row r="528" spans="1:22">
      <c r="A528" s="12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</row>
    <row r="529" spans="1:22">
      <c r="A529" s="12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</row>
    <row r="530" spans="1:22">
      <c r="A530" s="12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</row>
    <row r="531" spans="1:22">
      <c r="A531" s="12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</row>
    <row r="532" spans="1:22">
      <c r="A532" s="12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</row>
    <row r="533" spans="1:22">
      <c r="A533" s="12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</row>
    <row r="534" spans="1:22">
      <c r="A534" s="12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</row>
    <row r="535" spans="1:22">
      <c r="A535" s="12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</row>
    <row r="536" spans="1:22">
      <c r="A536" s="12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</row>
    <row r="537" spans="1:22">
      <c r="A537" s="12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</row>
    <row r="538" spans="1:22">
      <c r="A538" s="12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</row>
    <row r="539" spans="1:22">
      <c r="A539" s="12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</row>
    <row r="540" spans="1:22">
      <c r="A540" s="12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</row>
    <row r="541" spans="1:22">
      <c r="A541" s="12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</row>
    <row r="542" spans="1:22">
      <c r="A542" s="12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</row>
    <row r="543" spans="1:22">
      <c r="A543" s="12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</row>
    <row r="544" spans="1:22">
      <c r="A544" s="12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</row>
    <row r="545" spans="1:22">
      <c r="A545" s="12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</row>
    <row r="546" spans="1:22">
      <c r="A546" s="12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</row>
    <row r="547" spans="1:22">
      <c r="A547" s="12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</row>
    <row r="548" spans="1:22">
      <c r="A548" s="12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</row>
    <row r="549" spans="1:22">
      <c r="A549" s="12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</row>
    <row r="550" spans="1:22">
      <c r="A550" s="12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</row>
    <row r="551" spans="1:22">
      <c r="A551" s="12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</row>
    <row r="552" spans="1:22">
      <c r="A552" s="12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</row>
    <row r="553" spans="1:22">
      <c r="A553" s="12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</row>
    <row r="554" spans="1:22">
      <c r="A554" s="12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</row>
    <row r="555" spans="1:22">
      <c r="A555" s="12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</row>
    <row r="556" spans="1:22">
      <c r="A556" s="12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</row>
    <row r="557" spans="1:22">
      <c r="A557" s="12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</row>
    <row r="558" spans="1:22">
      <c r="A558" s="12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</row>
    <row r="559" spans="1:22">
      <c r="A559" s="12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</row>
    <row r="560" spans="1:22">
      <c r="A560" s="12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</row>
    <row r="561" spans="1:22">
      <c r="A561" s="12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</row>
    <row r="562" spans="1:22">
      <c r="A562" s="12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</row>
    <row r="563" spans="1:22">
      <c r="A563" s="12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</row>
    <row r="564" spans="1:22">
      <c r="A564" s="12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</row>
    <row r="565" spans="1:22">
      <c r="A565" s="12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</row>
    <row r="566" spans="1:22">
      <c r="A566" s="12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</row>
    <row r="567" spans="1:22">
      <c r="A567" s="12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</row>
    <row r="568" spans="1:22">
      <c r="A568" s="12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</row>
    <row r="569" spans="1:22">
      <c r="A569" s="12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</row>
    <row r="570" spans="1:22">
      <c r="A570" s="12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</row>
    <row r="571" spans="1:22">
      <c r="A571" s="12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</row>
    <row r="572" spans="1:22">
      <c r="A572" s="12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</row>
    <row r="573" spans="1:22">
      <c r="A573" s="12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</row>
    <row r="574" spans="1:22">
      <c r="A574" s="12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</row>
    <row r="575" spans="1:22">
      <c r="A575" s="12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</row>
    <row r="576" spans="1:22">
      <c r="A576" s="12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</row>
    <row r="577" spans="1:22">
      <c r="A577" s="12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</row>
    <row r="578" spans="1:22">
      <c r="A578" s="12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</row>
    <row r="579" spans="1:22">
      <c r="A579" s="12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</row>
    <row r="580" spans="1:22">
      <c r="A580" s="12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</row>
    <row r="581" spans="1:22">
      <c r="A581" s="12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</row>
    <row r="582" spans="1:22">
      <c r="A582" s="12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</row>
    <row r="583" spans="1:22">
      <c r="A583" s="12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</row>
    <row r="584" spans="1:22">
      <c r="A584" s="12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</row>
    <row r="585" spans="1:22">
      <c r="A585" s="12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</row>
    <row r="586" spans="1:22">
      <c r="A586" s="12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</row>
    <row r="587" spans="1:22">
      <c r="A587" s="12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</row>
    <row r="588" spans="1:22">
      <c r="A588" s="12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</row>
    <row r="589" spans="1:22">
      <c r="A589" s="12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</row>
    <row r="590" spans="1:22">
      <c r="A590" s="12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</row>
    <row r="591" spans="1:22">
      <c r="A591" s="12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</row>
    <row r="592" spans="1:22">
      <c r="A592" s="12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</row>
    <row r="593" spans="1:22">
      <c r="A593" s="12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</row>
    <row r="594" spans="1:22">
      <c r="A594" s="12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</row>
    <row r="595" spans="1:22">
      <c r="A595" s="12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</row>
    <row r="596" spans="1:22">
      <c r="A596" s="12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</row>
    <row r="597" spans="1:22">
      <c r="A597" s="12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</row>
    <row r="598" spans="1:22">
      <c r="A598" s="12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</row>
    <row r="599" spans="1:22">
      <c r="A599" s="12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</row>
    <row r="600" spans="1:22">
      <c r="A600" s="12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</row>
    <row r="601" spans="1:22">
      <c r="A601" s="12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</row>
    <row r="602" spans="1:22">
      <c r="A602" s="12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</row>
    <row r="603" spans="1:22">
      <c r="A603" s="12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</row>
    <row r="604" spans="1:22">
      <c r="A604" s="12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</row>
    <row r="605" spans="1:22">
      <c r="A605" s="12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</row>
    <row r="606" spans="1:22">
      <c r="A606" s="12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</row>
    <row r="607" spans="1:22">
      <c r="A607" s="12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</row>
    <row r="608" spans="1:22">
      <c r="A608" s="12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</row>
    <row r="609" spans="1:22">
      <c r="A609" s="12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</row>
    <row r="610" spans="1:22">
      <c r="A610" s="12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</row>
    <row r="611" spans="1:22">
      <c r="A611" s="12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</row>
    <row r="612" spans="1:22">
      <c r="A612" s="12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</row>
    <row r="613" spans="1:22">
      <c r="A613" s="12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</row>
    <row r="614" spans="1:22">
      <c r="A614" s="12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</row>
    <row r="615" spans="1:22">
      <c r="A615" s="12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</row>
    <row r="616" spans="1:22">
      <c r="A616" s="12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</row>
    <row r="617" spans="1:22">
      <c r="A617" s="12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</row>
    <row r="618" spans="1:22">
      <c r="A618" s="12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</row>
    <row r="619" spans="1:22">
      <c r="A619" s="12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</row>
    <row r="620" spans="1:22">
      <c r="A620" s="12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</row>
    <row r="621" spans="1:22">
      <c r="A621" s="12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</row>
    <row r="622" spans="1:22">
      <c r="A622" s="12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</row>
    <row r="623" spans="1:22">
      <c r="A623" s="12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</row>
    <row r="624" spans="1:22">
      <c r="A624" s="12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</row>
    <row r="625" spans="1:22">
      <c r="A625" s="12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</row>
    <row r="626" spans="1:22">
      <c r="A626" s="12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</row>
    <row r="627" spans="1:22">
      <c r="A627" s="12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</row>
    <row r="628" spans="1:22">
      <c r="A628" s="12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</row>
    <row r="629" spans="1:22">
      <c r="A629" s="12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</row>
    <row r="630" spans="1:22">
      <c r="A630" s="12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</row>
    <row r="631" spans="1:22">
      <c r="A631" s="12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</row>
    <row r="632" spans="1:22">
      <c r="A632" s="12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</row>
    <row r="633" spans="1:22">
      <c r="A633" s="12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</row>
    <row r="634" spans="1:22">
      <c r="A634" s="12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</row>
    <row r="635" spans="1:22">
      <c r="A635" s="12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</row>
    <row r="636" spans="1:22">
      <c r="A636" s="12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</row>
    <row r="637" spans="1:22">
      <c r="A637" s="12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</row>
    <row r="638" spans="1:22">
      <c r="A638" s="12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</row>
    <row r="639" spans="1:22">
      <c r="A639" s="12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</row>
    <row r="640" spans="1:22">
      <c r="A640" s="12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</row>
    <row r="641" spans="1:22">
      <c r="A641" s="12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</row>
    <row r="642" spans="1:22">
      <c r="A642" s="12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</row>
    <row r="643" spans="1:22">
      <c r="A643" s="12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</row>
    <row r="644" spans="1:22">
      <c r="A644" s="12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</row>
    <row r="645" spans="1:22">
      <c r="A645" s="12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</row>
    <row r="646" spans="1:22">
      <c r="A646" s="12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</row>
    <row r="647" spans="1:22">
      <c r="A647" s="12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</row>
    <row r="648" spans="1:22">
      <c r="A648" s="12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</row>
    <row r="649" spans="1:22">
      <c r="A649" s="12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</row>
    <row r="650" spans="1:22">
      <c r="A650" s="12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</row>
    <row r="651" spans="1:22">
      <c r="A651" s="12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</row>
    <row r="652" spans="1:22">
      <c r="A652" s="12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</row>
    <row r="653" spans="1:22">
      <c r="A653" s="12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</row>
    <row r="654" spans="1:22">
      <c r="A654" s="12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</row>
    <row r="655" spans="1:22">
      <c r="A655" s="12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</row>
    <row r="656" spans="1:22">
      <c r="A656" s="12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</row>
    <row r="657" spans="1:22">
      <c r="A657" s="12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</row>
    <row r="658" spans="1:22">
      <c r="A658" s="12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</row>
    <row r="659" spans="1:22">
      <c r="A659" s="12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</row>
    <row r="660" spans="1:22">
      <c r="A660" s="12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</row>
    <row r="661" spans="1:22">
      <c r="A661" s="12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</row>
    <row r="662" spans="1:22">
      <c r="A662" s="12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</row>
    <row r="663" spans="1:22">
      <c r="A663" s="12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</row>
    <row r="664" spans="1:22">
      <c r="A664" s="12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</row>
    <row r="665" spans="1:22">
      <c r="A665" s="12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</row>
    <row r="666" spans="1:22">
      <c r="A666" s="12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</row>
    <row r="667" spans="1:22">
      <c r="A667" s="12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</row>
    <row r="668" spans="1:22">
      <c r="A668" s="12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</row>
    <row r="669" spans="1:22">
      <c r="A669" s="12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</row>
    <row r="670" spans="1:22">
      <c r="A670" s="12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</row>
    <row r="671" spans="1:22">
      <c r="A671" s="12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</row>
    <row r="672" spans="1:22">
      <c r="A672" s="12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</row>
    <row r="673" spans="1:22">
      <c r="A673" s="12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</row>
    <row r="674" spans="1:22">
      <c r="A674" s="12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</row>
    <row r="675" spans="1:22">
      <c r="A675" s="12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</row>
    <row r="676" spans="1:22">
      <c r="A676" s="12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</row>
    <row r="677" spans="1:22">
      <c r="A677" s="12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</row>
    <row r="678" spans="1:22">
      <c r="A678" s="12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</row>
    <row r="679" spans="1:22">
      <c r="A679" s="12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</row>
    <row r="680" spans="1:22">
      <c r="A680" s="12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</row>
    <row r="681" spans="1:22">
      <c r="A681" s="12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</row>
    <row r="682" spans="1:22">
      <c r="A682" s="12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</row>
    <row r="683" spans="1:22">
      <c r="A683" s="12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</row>
    <row r="684" spans="1:22">
      <c r="A684" s="12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</row>
    <row r="685" spans="1:22">
      <c r="A685" s="12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</row>
    <row r="686" spans="1:22">
      <c r="A686" s="12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</row>
    <row r="687" spans="1:22">
      <c r="A687" s="12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</row>
    <row r="688" spans="1:22">
      <c r="A688" s="12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</row>
    <row r="689" spans="1:22">
      <c r="A689" s="12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</row>
    <row r="690" spans="1:22">
      <c r="A690" s="12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</row>
    <row r="691" spans="1:22">
      <c r="A691" s="12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</row>
    <row r="692" spans="1:22">
      <c r="A692" s="12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</row>
    <row r="693" spans="1:22">
      <c r="A693" s="12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</row>
    <row r="694" spans="1:22">
      <c r="A694" s="12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</row>
    <row r="695" spans="1:22">
      <c r="A695" s="12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</row>
    <row r="696" spans="1:22">
      <c r="A696" s="12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</row>
    <row r="697" spans="1:22">
      <c r="A697" s="12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</row>
    <row r="698" spans="1:22">
      <c r="A698" s="12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</row>
    <row r="699" spans="1:22">
      <c r="A699" s="12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</row>
    <row r="700" spans="1:22">
      <c r="A700" s="12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</row>
    <row r="701" spans="1:22">
      <c r="A701" s="12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</row>
    <row r="702" spans="1:22">
      <c r="A702" s="12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</row>
    <row r="703" spans="1:22">
      <c r="A703" s="12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</row>
    <row r="704" spans="1:22">
      <c r="A704" s="12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</row>
    <row r="705" spans="1:22">
      <c r="A705" s="12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</row>
    <row r="706" spans="1:22">
      <c r="A706" s="12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</row>
    <row r="707" spans="1:22">
      <c r="A707" s="12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</row>
    <row r="708" spans="1:22">
      <c r="A708" s="12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</row>
    <row r="709" spans="1:22">
      <c r="A709" s="12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</row>
    <row r="710" spans="1:22">
      <c r="A710" s="12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</row>
    <row r="711" spans="1:22">
      <c r="A711" s="12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</row>
    <row r="712" spans="1:22">
      <c r="A712" s="12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</row>
    <row r="713" spans="1:22">
      <c r="A713" s="12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</row>
    <row r="714" spans="1:22">
      <c r="A714" s="12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</row>
    <row r="715" spans="1:22">
      <c r="A715" s="12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</row>
    <row r="716" spans="1:22">
      <c r="A716" s="12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</row>
    <row r="717" spans="1:22">
      <c r="A717" s="12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</row>
    <row r="718" spans="1:22">
      <c r="A718" s="12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</row>
    <row r="719" spans="1:22">
      <c r="A719" s="12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</row>
    <row r="720" spans="1:22">
      <c r="A720" s="12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</row>
    <row r="721" spans="1:22">
      <c r="A721" s="12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</row>
    <row r="722" spans="1:22">
      <c r="A722" s="12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</row>
    <row r="723" spans="1:22">
      <c r="A723" s="12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</row>
    <row r="724" spans="1:22">
      <c r="A724" s="12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</row>
    <row r="725" spans="1:22">
      <c r="A725" s="12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</row>
    <row r="726" spans="1:22">
      <c r="A726" s="12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</row>
    <row r="727" spans="1:22">
      <c r="A727" s="12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</row>
    <row r="728" spans="1:22">
      <c r="A728" s="12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</row>
    <row r="729" spans="1:22">
      <c r="A729" s="12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</row>
    <row r="730" spans="1:22">
      <c r="A730" s="12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</row>
    <row r="731" spans="1:22">
      <c r="A731" s="12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</row>
    <row r="732" spans="1:22">
      <c r="A732" s="12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</row>
    <row r="733" spans="1:22">
      <c r="A733" s="12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</row>
    <row r="734" spans="1:22">
      <c r="A734" s="12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</row>
    <row r="735" spans="1:22">
      <c r="A735" s="12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</row>
    <row r="736" spans="1:22">
      <c r="A736" s="12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</row>
    <row r="737" spans="1:22">
      <c r="A737" s="12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</row>
    <row r="738" spans="1:22">
      <c r="A738" s="12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</row>
    <row r="739" spans="1:22">
      <c r="A739" s="12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</row>
    <row r="740" spans="1:22">
      <c r="A740" s="12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</row>
    <row r="741" spans="1:22">
      <c r="A741" s="12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</row>
    <row r="742" spans="1:22">
      <c r="A742" s="12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</row>
    <row r="743" spans="1:22">
      <c r="A743" s="12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</row>
    <row r="744" spans="1:22">
      <c r="A744" s="12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</row>
    <row r="745" spans="1:22">
      <c r="A745" s="12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</row>
    <row r="746" spans="1:22">
      <c r="A746" s="12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</row>
    <row r="747" spans="1:22">
      <c r="A747" s="12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</row>
    <row r="748" spans="1:22">
      <c r="A748" s="12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</row>
    <row r="749" spans="1:22">
      <c r="A749" s="12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</row>
    <row r="750" spans="1:22">
      <c r="A750" s="12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</row>
    <row r="751" spans="1:22">
      <c r="A751" s="12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</row>
    <row r="752" spans="1:22">
      <c r="A752" s="12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</row>
    <row r="753" spans="1:22">
      <c r="A753" s="12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</row>
    <row r="754" spans="1:22">
      <c r="A754" s="12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</row>
    <row r="755" spans="1:22">
      <c r="A755" s="12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</row>
    <row r="756" spans="1:22">
      <c r="A756" s="12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</row>
    <row r="757" spans="1:22">
      <c r="A757" s="12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</row>
    <row r="758" spans="1:22">
      <c r="A758" s="12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</row>
    <row r="759" spans="1:22">
      <c r="A759" s="12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</row>
    <row r="760" spans="1:22">
      <c r="A760" s="12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</row>
    <row r="761" spans="1:22">
      <c r="A761" s="12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</row>
    <row r="762" spans="1:22">
      <c r="A762" s="12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</row>
    <row r="763" spans="1:22">
      <c r="A763" s="12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</row>
    <row r="764" spans="1:22">
      <c r="A764" s="12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</row>
    <row r="765" spans="1:22">
      <c r="A765" s="12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</row>
    <row r="766" spans="1:22">
      <c r="A766" s="12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</row>
    <row r="767" spans="1:22">
      <c r="A767" s="12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</row>
    <row r="768" spans="1:22">
      <c r="A768" s="12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</row>
    <row r="769" spans="1:22">
      <c r="A769" s="12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</row>
    <row r="770" spans="1:22">
      <c r="A770" s="12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</row>
    <row r="771" spans="1:22">
      <c r="A771" s="12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</row>
    <row r="772" spans="1:22">
      <c r="A772" s="12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</row>
    <row r="773" spans="1:22">
      <c r="A773" s="12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</row>
    <row r="774" spans="1:22">
      <c r="A774" s="12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</row>
    <row r="775" spans="1:22">
      <c r="A775" s="12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</row>
    <row r="776" spans="1:22">
      <c r="A776" s="12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</row>
    <row r="777" spans="1:22">
      <c r="A777" s="12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</row>
    <row r="778" spans="1:22">
      <c r="A778" s="12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</row>
    <row r="779" spans="1:22">
      <c r="A779" s="12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</row>
    <row r="780" spans="1:22">
      <c r="A780" s="12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</row>
    <row r="781" spans="1:22">
      <c r="A781" s="12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</row>
    <row r="782" spans="1:22">
      <c r="A782" s="12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</row>
    <row r="783" spans="1:22">
      <c r="A783" s="12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</row>
    <row r="784" spans="1:22">
      <c r="A784" s="12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</row>
    <row r="785" spans="1:22">
      <c r="A785" s="12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</row>
    <row r="786" spans="1:22">
      <c r="A786" s="12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</row>
    <row r="787" spans="1:22">
      <c r="A787" s="12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</row>
    <row r="788" spans="1:22">
      <c r="A788" s="12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</row>
    <row r="789" spans="1:22">
      <c r="A789" s="12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</row>
    <row r="790" spans="1:22">
      <c r="A790" s="12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</row>
    <row r="791" spans="1:22">
      <c r="A791" s="12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</row>
    <row r="792" spans="1:22">
      <c r="A792" s="12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</row>
    <row r="793" spans="1:22">
      <c r="A793" s="12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</row>
    <row r="794" spans="1:22">
      <c r="A794" s="12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</row>
    <row r="795" spans="1:22">
      <c r="A795" s="12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</row>
    <row r="796" spans="1:22">
      <c r="A796" s="12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</row>
    <row r="797" spans="1:22">
      <c r="A797" s="12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</row>
    <row r="798" spans="1:22">
      <c r="A798" s="12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</row>
    <row r="799" spans="1:22">
      <c r="A799" s="12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</row>
    <row r="800" spans="1:22">
      <c r="A800" s="12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</row>
    <row r="801" spans="1:22">
      <c r="A801" s="12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</row>
    <row r="802" spans="1:22">
      <c r="A802" s="12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</row>
    <row r="803" spans="1:22">
      <c r="A803" s="12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</row>
    <row r="804" spans="1:22">
      <c r="A804" s="12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</row>
    <row r="805" spans="1:22">
      <c r="A805" s="12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</row>
    <row r="806" spans="1:22">
      <c r="A806" s="12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</row>
    <row r="807" spans="1:22">
      <c r="A807" s="12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</row>
    <row r="808" spans="1:22">
      <c r="A808" s="12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</row>
    <row r="809" spans="1:22">
      <c r="A809" s="12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</row>
    <row r="810" spans="1:22">
      <c r="A810" s="12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</row>
    <row r="811" spans="1:22">
      <c r="A811" s="12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</row>
    <row r="812" spans="1:22">
      <c r="A812" s="12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</row>
    <row r="813" spans="1:22">
      <c r="A813" s="12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</row>
    <row r="814" spans="1:22">
      <c r="A814" s="12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</row>
    <row r="815" spans="1:22">
      <c r="A815" s="12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</row>
    <row r="816" spans="1:22">
      <c r="A816" s="12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</row>
    <row r="817" spans="1:22">
      <c r="A817" s="12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</row>
    <row r="818" spans="1:22">
      <c r="A818" s="12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</row>
    <row r="819" spans="1:22">
      <c r="A819" s="12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</row>
    <row r="820" spans="1:22">
      <c r="A820" s="12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</row>
    <row r="821" spans="1:22">
      <c r="A821" s="12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</row>
    <row r="822" spans="1:22">
      <c r="A822" s="12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</row>
    <row r="823" spans="1:22">
      <c r="A823" s="12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</row>
    <row r="824" spans="1:22">
      <c r="A824" s="12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</row>
    <row r="825" spans="1:22">
      <c r="A825" s="12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</row>
    <row r="826" spans="1:22">
      <c r="A826" s="12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</row>
    <row r="827" spans="1:22">
      <c r="A827" s="12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</row>
    <row r="828" spans="1:22">
      <c r="A828" s="12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</row>
    <row r="829" spans="1:22">
      <c r="A829" s="12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</row>
    <row r="830" spans="1:22">
      <c r="A830" s="12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</row>
    <row r="831" spans="1:22">
      <c r="A831" s="12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</row>
    <row r="832" spans="1:22">
      <c r="A832" s="12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</row>
    <row r="833" spans="1:22">
      <c r="A833" s="12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</row>
    <row r="834" spans="1:22">
      <c r="A834" s="12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</row>
    <row r="835" spans="1:22">
      <c r="A835" s="12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</row>
    <row r="836" spans="1:22">
      <c r="A836" s="12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</row>
    <row r="837" spans="1:22">
      <c r="A837" s="12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</row>
    <row r="838" spans="1:22">
      <c r="A838" s="12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</row>
    <row r="839" spans="1:22">
      <c r="A839" s="12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</row>
    <row r="840" spans="1:22">
      <c r="A840" s="12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</row>
    <row r="841" spans="1:22">
      <c r="A841" s="12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</row>
    <row r="842" spans="1:22">
      <c r="A842" s="12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</row>
    <row r="843" spans="1:22">
      <c r="A843" s="12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</row>
    <row r="844" spans="1:22">
      <c r="A844" s="12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</row>
    <row r="845" spans="1:22">
      <c r="A845" s="12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</row>
    <row r="846" spans="1:22">
      <c r="A846" s="12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</row>
    <row r="847" spans="1:22">
      <c r="A847" s="12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</row>
    <row r="848" spans="1:22">
      <c r="A848" s="12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</row>
    <row r="849" spans="1:22">
      <c r="A849" s="12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</row>
    <row r="850" spans="1:22">
      <c r="A850" s="12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</row>
    <row r="851" spans="1:22">
      <c r="A851" s="12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</row>
    <row r="852" spans="1:22">
      <c r="A852" s="12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</row>
    <row r="853" spans="1:22">
      <c r="A853" s="12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</row>
    <row r="854" spans="1:22">
      <c r="A854" s="12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</row>
    <row r="855" spans="1:22">
      <c r="A855" s="12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</row>
    <row r="856" spans="1:22">
      <c r="A856" s="12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</row>
    <row r="857" spans="1:22">
      <c r="A857" s="12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</row>
    <row r="858" spans="1:22">
      <c r="A858" s="12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</row>
    <row r="859" spans="1:22">
      <c r="A859" s="12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</row>
    <row r="860" spans="1:22">
      <c r="A860" s="12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</row>
    <row r="861" spans="1:22">
      <c r="A861" s="12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</row>
    <row r="862" spans="1:22">
      <c r="A862" s="12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</row>
    <row r="863" spans="1:22">
      <c r="A863" s="12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</row>
    <row r="864" spans="1:22">
      <c r="A864" s="12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</row>
    <row r="865" spans="1:22">
      <c r="A865" s="12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</row>
    <row r="866" spans="1:22">
      <c r="A866" s="12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</row>
    <row r="867" spans="1:22">
      <c r="A867" s="12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</row>
    <row r="868" spans="1:22">
      <c r="A868" s="12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</row>
    <row r="869" spans="1:22">
      <c r="A869" s="12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</row>
    <row r="870" spans="1:22">
      <c r="A870" s="12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</row>
    <row r="871" spans="1:22">
      <c r="A871" s="12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</row>
    <row r="872" spans="1:22">
      <c r="A872" s="12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</row>
    <row r="873" spans="1:22">
      <c r="A873" s="12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</row>
    <row r="874" spans="1:22">
      <c r="A874" s="12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</row>
    <row r="875" spans="1:22">
      <c r="A875" s="12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</row>
    <row r="876" spans="1:22">
      <c r="A876" s="12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</row>
    <row r="877" spans="1:22">
      <c r="A877" s="12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</row>
    <row r="878" spans="1:22">
      <c r="A878" s="12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</row>
    <row r="879" spans="1:22">
      <c r="A879" s="12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</row>
    <row r="880" spans="1:22">
      <c r="A880" s="12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</row>
    <row r="881" spans="1:22">
      <c r="A881" s="12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</row>
    <row r="882" spans="1:22">
      <c r="A882" s="12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</row>
    <row r="883" spans="1:22">
      <c r="A883" s="12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</row>
    <row r="884" spans="1:22">
      <c r="A884" s="12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</row>
    <row r="885" spans="1:22">
      <c r="A885" s="12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</row>
    <row r="886" spans="1:22">
      <c r="A886" s="12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</row>
    <row r="887" spans="1:22">
      <c r="A887" s="12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</row>
    <row r="888" spans="1:22">
      <c r="A888" s="12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</row>
    <row r="889" spans="1:22">
      <c r="A889" s="12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</row>
    <row r="890" spans="1:22">
      <c r="A890" s="12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</row>
    <row r="891" spans="1:22">
      <c r="A891" s="12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</row>
    <row r="892" spans="1:22">
      <c r="A892" s="12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</row>
    <row r="893" spans="1:22">
      <c r="A893" s="12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</row>
    <row r="894" spans="1:22">
      <c r="A894" s="12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</row>
    <row r="895" spans="1:22">
      <c r="A895" s="12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</row>
    <row r="896" spans="1:22">
      <c r="A896" s="12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</row>
    <row r="897" spans="1:22">
      <c r="A897" s="12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</row>
    <row r="898" spans="1:22">
      <c r="A898" s="12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</row>
    <row r="899" spans="1:22">
      <c r="A899" s="12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</row>
    <row r="900" spans="1:22">
      <c r="A900" s="12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</row>
    <row r="901" spans="1:22">
      <c r="A901" s="12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</row>
    <row r="902" spans="1:22">
      <c r="A902" s="12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</row>
    <row r="903" spans="1:22">
      <c r="A903" s="12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</row>
    <row r="904" spans="1:22">
      <c r="A904" s="12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</row>
    <row r="905" spans="1:22">
      <c r="A905" s="12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</row>
    <row r="906" spans="1:22">
      <c r="A906" s="12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</row>
    <row r="907" spans="1:22">
      <c r="A907" s="12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</row>
    <row r="908" spans="1:22">
      <c r="A908" s="12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</row>
    <row r="909" spans="1:22">
      <c r="A909" s="12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</row>
    <row r="910" spans="1:22">
      <c r="A910" s="12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</row>
    <row r="911" spans="1:22">
      <c r="A911" s="12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</row>
    <row r="912" spans="1:22">
      <c r="A912" s="12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</row>
    <row r="913" spans="1:22">
      <c r="A913" s="12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</row>
    <row r="914" spans="1:22">
      <c r="A914" s="12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</row>
    <row r="915" spans="1:22">
      <c r="A915" s="12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</row>
    <row r="916" spans="1:22">
      <c r="A916" s="12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</row>
    <row r="917" spans="1:22">
      <c r="A917" s="12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</row>
    <row r="918" spans="1:22">
      <c r="A918" s="12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</row>
    <row r="919" spans="1:22">
      <c r="A919" s="12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</row>
    <row r="920" spans="1:22">
      <c r="A920" s="12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</row>
    <row r="921" spans="1:22">
      <c r="A921" s="12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</row>
    <row r="922" spans="1:22">
      <c r="A922" s="12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</row>
    <row r="923" spans="1:22">
      <c r="A923" s="12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</row>
    <row r="924" spans="1:22">
      <c r="A924" s="12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</row>
    <row r="925" spans="1:22">
      <c r="A925" s="12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</row>
    <row r="926" spans="1:22">
      <c r="A926" s="12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</row>
    <row r="927" spans="1:22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</row>
    <row r="928" spans="1:22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</row>
    <row r="929" spans="1:22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O27"/>
  <sheetViews>
    <sheetView workbookViewId="0">
      <selection activeCell="E17" sqref="E17"/>
    </sheetView>
  </sheetViews>
  <sheetFormatPr baseColWidth="10" defaultColWidth="14.42578125" defaultRowHeight="15" customHeight="1"/>
  <cols>
    <col min="1" max="1" width="16.140625" customWidth="1"/>
    <col min="3" max="4" width="20.42578125" customWidth="1"/>
    <col min="5" max="6" width="21.42578125" bestFit="1" customWidth="1"/>
    <col min="7" max="7" width="21.42578125" customWidth="1"/>
    <col min="8" max="8" width="21.42578125" bestFit="1" customWidth="1"/>
    <col min="9" max="9" width="19.42578125" customWidth="1"/>
    <col min="10" max="10" width="26" customWidth="1"/>
    <col min="11" max="11" width="28.28515625" customWidth="1"/>
    <col min="12" max="12" width="15.42578125" bestFit="1" customWidth="1"/>
    <col min="13" max="13" width="15.42578125" customWidth="1"/>
    <col min="14" max="14" width="21.42578125" bestFit="1" customWidth="1"/>
    <col min="15" max="15" width="15.42578125" bestFit="1" customWidth="1"/>
  </cols>
  <sheetData>
    <row r="1" spans="1:15" s="142" customFormat="1" ht="15" customHeight="1">
      <c r="D1" s="142">
        <v>500000</v>
      </c>
      <c r="F1" s="142">
        <v>1000000</v>
      </c>
      <c r="H1" s="142">
        <v>1500000</v>
      </c>
      <c r="J1" s="142">
        <v>2000000</v>
      </c>
    </row>
    <row r="2" spans="1:15" ht="15" customHeight="1">
      <c r="A2" s="155" t="s">
        <v>4415</v>
      </c>
      <c r="B2" s="155" t="s">
        <v>4416</v>
      </c>
      <c r="C2" s="204" t="s">
        <v>4548</v>
      </c>
      <c r="D2" s="206" t="s">
        <v>4480</v>
      </c>
      <c r="E2" s="207"/>
      <c r="F2" s="208" t="s">
        <v>4481</v>
      </c>
      <c r="G2" s="207"/>
      <c r="H2" s="208" t="s">
        <v>4482</v>
      </c>
      <c r="I2" s="207"/>
      <c r="J2" s="200" t="s">
        <v>4483</v>
      </c>
      <c r="K2" s="201"/>
      <c r="L2" s="4"/>
      <c r="M2" s="157"/>
      <c r="N2" s="4"/>
      <c r="O2" s="4"/>
    </row>
    <row r="3" spans="1:15" ht="15" customHeight="1">
      <c r="A3" s="156"/>
      <c r="B3" s="156"/>
      <c r="C3" s="205"/>
      <c r="D3" s="164" t="s">
        <v>4418</v>
      </c>
      <c r="E3" s="159" t="s">
        <v>4484</v>
      </c>
      <c r="F3" s="161" t="s">
        <v>4418</v>
      </c>
      <c r="G3" s="162" t="s">
        <v>4484</v>
      </c>
      <c r="H3" s="161" t="s">
        <v>4418</v>
      </c>
      <c r="I3" s="162" t="s">
        <v>4484</v>
      </c>
      <c r="J3" s="154" t="s">
        <v>4418</v>
      </c>
      <c r="K3" s="127" t="s">
        <v>4484</v>
      </c>
    </row>
    <row r="4" spans="1:15" ht="15" customHeight="1">
      <c r="A4" s="128">
        <v>0</v>
      </c>
      <c r="B4" s="128">
        <v>10</v>
      </c>
      <c r="C4" s="165" t="str">
        <f t="shared" ref="C4:C13" si="0">IF(AND(anzahlMitarbeiterGesamt&gt;=$A4,anzahlMitarbeiterGesamt&lt;=$B4),"x","")</f>
        <v>x</v>
      </c>
      <c r="D4" s="158"/>
      <c r="E4" s="160">
        <v>649</v>
      </c>
      <c r="F4" s="163"/>
      <c r="G4" s="160">
        <v>708</v>
      </c>
      <c r="H4" s="163"/>
      <c r="I4" s="160">
        <v>831.9</v>
      </c>
      <c r="J4" s="158"/>
      <c r="K4" s="129">
        <v>920.4</v>
      </c>
      <c r="L4" s="130"/>
    </row>
    <row r="5" spans="1:15" ht="15" customHeight="1">
      <c r="A5" s="128">
        <v>11</v>
      </c>
      <c r="B5" s="128">
        <v>25</v>
      </c>
      <c r="C5" s="165" t="str">
        <f t="shared" si="0"/>
        <v/>
      </c>
      <c r="D5" s="158"/>
      <c r="E5" s="160">
        <v>858</v>
      </c>
      <c r="F5" s="163"/>
      <c r="G5" s="160">
        <v>936</v>
      </c>
      <c r="H5" s="163"/>
      <c r="I5" s="160">
        <v>1099.8</v>
      </c>
      <c r="J5" s="158"/>
      <c r="K5" s="129">
        <v>1216.8</v>
      </c>
      <c r="L5" s="130"/>
    </row>
    <row r="6" spans="1:15" ht="15" customHeight="1">
      <c r="A6" s="128">
        <v>26</v>
      </c>
      <c r="B6" s="128">
        <v>50</v>
      </c>
      <c r="C6" s="165" t="str">
        <f t="shared" si="0"/>
        <v/>
      </c>
      <c r="D6" s="158"/>
      <c r="E6" s="160">
        <v>1188</v>
      </c>
      <c r="F6" s="163"/>
      <c r="G6" s="160">
        <v>1296</v>
      </c>
      <c r="H6" s="163"/>
      <c r="I6" s="160">
        <v>1522.8</v>
      </c>
      <c r="J6" s="158"/>
      <c r="K6" s="129">
        <v>1684.8</v>
      </c>
      <c r="L6" s="130"/>
    </row>
    <row r="7" spans="1:15" ht="15" customHeight="1">
      <c r="A7" s="128">
        <v>51</v>
      </c>
      <c r="B7" s="128">
        <v>75</v>
      </c>
      <c r="C7" s="165" t="str">
        <f t="shared" si="0"/>
        <v/>
      </c>
      <c r="D7" s="158"/>
      <c r="E7" s="160">
        <v>1749</v>
      </c>
      <c r="F7" s="163"/>
      <c r="G7" s="160">
        <v>1908</v>
      </c>
      <c r="H7" s="163"/>
      <c r="I7" s="160">
        <v>2241.9</v>
      </c>
      <c r="J7" s="158"/>
      <c r="K7" s="129">
        <v>2480.4</v>
      </c>
      <c r="L7" s="130"/>
    </row>
    <row r="8" spans="1:15" ht="15" customHeight="1">
      <c r="A8" s="128">
        <v>76</v>
      </c>
      <c r="B8" s="128">
        <v>100</v>
      </c>
      <c r="C8" s="165" t="str">
        <f t="shared" si="0"/>
        <v/>
      </c>
      <c r="D8" s="158"/>
      <c r="E8" s="160">
        <v>2145</v>
      </c>
      <c r="F8" s="163"/>
      <c r="G8" s="160">
        <v>2340</v>
      </c>
      <c r="H8" s="163"/>
      <c r="I8" s="160">
        <v>2749.5</v>
      </c>
      <c r="J8" s="158"/>
      <c r="K8" s="129">
        <v>3042</v>
      </c>
      <c r="L8" s="130"/>
    </row>
    <row r="9" spans="1:15" ht="15" customHeight="1">
      <c r="A9" s="128">
        <v>101</v>
      </c>
      <c r="B9" s="128">
        <v>200</v>
      </c>
      <c r="C9" s="165" t="str">
        <f t="shared" si="0"/>
        <v/>
      </c>
      <c r="D9" s="158">
        <v>22</v>
      </c>
      <c r="E9" s="160">
        <v>2145</v>
      </c>
      <c r="F9" s="163">
        <v>24</v>
      </c>
      <c r="G9" s="160">
        <v>2340</v>
      </c>
      <c r="H9" s="163">
        <v>28.200000000000003</v>
      </c>
      <c r="I9" s="160">
        <v>2749.5</v>
      </c>
      <c r="J9" s="158">
        <v>31.200000000000003</v>
      </c>
      <c r="K9" s="129">
        <v>3042</v>
      </c>
      <c r="L9" s="130"/>
    </row>
    <row r="10" spans="1:15" ht="15" customHeight="1">
      <c r="A10" s="128">
        <v>201</v>
      </c>
      <c r="B10" s="128">
        <v>300</v>
      </c>
      <c r="C10" s="165" t="str">
        <f t="shared" si="0"/>
        <v/>
      </c>
      <c r="D10" s="158">
        <v>17.600000000000001</v>
      </c>
      <c r="E10" s="160">
        <v>4400</v>
      </c>
      <c r="F10" s="163">
        <v>19.2</v>
      </c>
      <c r="G10" s="160">
        <v>4800</v>
      </c>
      <c r="H10" s="163">
        <v>22.56</v>
      </c>
      <c r="I10" s="160">
        <v>5640</v>
      </c>
      <c r="J10" s="158">
        <v>24.96</v>
      </c>
      <c r="K10" s="129">
        <v>6240</v>
      </c>
      <c r="L10" s="130"/>
    </row>
    <row r="11" spans="1:15" ht="15" customHeight="1">
      <c r="A11" s="128">
        <v>301</v>
      </c>
      <c r="B11" s="128">
        <v>500</v>
      </c>
      <c r="C11" s="165" t="str">
        <f t="shared" si="0"/>
        <v/>
      </c>
      <c r="D11" s="158">
        <v>13.2</v>
      </c>
      <c r="E11" s="160">
        <v>5280</v>
      </c>
      <c r="F11" s="163">
        <v>14.4</v>
      </c>
      <c r="G11" s="160">
        <v>5760</v>
      </c>
      <c r="H11" s="163">
        <v>16.920000000000002</v>
      </c>
      <c r="I11" s="160">
        <v>6768</v>
      </c>
      <c r="J11" s="158">
        <v>18.720000000000002</v>
      </c>
      <c r="K11" s="129">
        <v>7488</v>
      </c>
      <c r="L11" s="130"/>
    </row>
    <row r="12" spans="1:15" ht="15" customHeight="1">
      <c r="A12" s="128">
        <v>501</v>
      </c>
      <c r="B12" s="128">
        <v>1000</v>
      </c>
      <c r="C12" s="165" t="str">
        <f t="shared" si="0"/>
        <v/>
      </c>
      <c r="D12" s="158">
        <v>10.38</v>
      </c>
      <c r="E12" s="160">
        <v>6600</v>
      </c>
      <c r="F12" s="163">
        <v>11.32</v>
      </c>
      <c r="G12" s="160">
        <v>7200</v>
      </c>
      <c r="H12" s="163">
        <v>13.301</v>
      </c>
      <c r="I12" s="160">
        <v>8460</v>
      </c>
      <c r="J12" s="158">
        <v>14.716000000000001</v>
      </c>
      <c r="K12" s="129">
        <v>9360</v>
      </c>
      <c r="L12" s="130"/>
    </row>
    <row r="13" spans="1:15" ht="15" customHeight="1" thickBot="1">
      <c r="A13" s="167">
        <v>1001</v>
      </c>
      <c r="B13" s="167">
        <v>1500</v>
      </c>
      <c r="C13" s="168" t="str">
        <f t="shared" si="0"/>
        <v/>
      </c>
      <c r="D13" s="170">
        <v>7.7</v>
      </c>
      <c r="E13" s="171">
        <v>10383.33</v>
      </c>
      <c r="F13" s="172">
        <v>8.4</v>
      </c>
      <c r="G13" s="171">
        <v>11316.67</v>
      </c>
      <c r="H13" s="172">
        <v>9.870000000000001</v>
      </c>
      <c r="I13" s="171">
        <v>13297.08725</v>
      </c>
      <c r="J13" s="170">
        <v>10.920000000000002</v>
      </c>
      <c r="K13" s="173">
        <v>14711.671</v>
      </c>
      <c r="L13" s="130"/>
    </row>
    <row r="14" spans="1:15" ht="15" customHeight="1">
      <c r="A14" s="169" t="s">
        <v>4549</v>
      </c>
      <c r="B14" s="202" t="str">
        <f>CONCATENATE(INDEX('Arag-Tarif'!A4:A13,MATCH("x",'Arag-Tarif'!C4:C13,0))," - ",(INDEX('Arag-Tarif'!B4:B13,MATCH("x",'Arag-Tarif'!C4:C13,0))))</f>
        <v>0 - 10</v>
      </c>
      <c r="C14" s="203"/>
      <c r="D14" s="174">
        <f>INDEX('Arag-Tarif'!D4:D13,MATCH("x",'Arag-Tarif'!C4:C13,0))</f>
        <v>0</v>
      </c>
      <c r="E14" s="175">
        <f>INDEX('Arag-Tarif'!E4:E13,MATCH("x",'Arag-Tarif'!C4:C13,0))</f>
        <v>649</v>
      </c>
      <c r="F14" s="176">
        <f>INDEX('Arag-Tarif'!F4:F13,MATCH("x",'Arag-Tarif'!C4:C13,0))</f>
        <v>0</v>
      </c>
      <c r="G14" s="177">
        <f>INDEX('Arag-Tarif'!G4:G13,MATCH("x",'Arag-Tarif'!C4:C13,0))</f>
        <v>708</v>
      </c>
      <c r="H14" s="178">
        <f>INDEX('Arag-Tarif'!H4:H13,MATCH("x",'Arag-Tarif'!C4:C13,0))</f>
        <v>0</v>
      </c>
      <c r="I14" s="177">
        <f>INDEX('Arag-Tarif'!I4:I13,MATCH("x",'Arag-Tarif'!C4:C13,0))</f>
        <v>831.9</v>
      </c>
      <c r="J14" s="178">
        <f>INDEX('Arag-Tarif'!J4:J13,MATCH("x",'Arag-Tarif'!C4:C13,0))</f>
        <v>0</v>
      </c>
      <c r="K14" s="179">
        <f>INDEX('Arag-Tarif'!K4:K13,MATCH("x",'Arag-Tarif'!C4:C13,0))</f>
        <v>920.4</v>
      </c>
    </row>
    <row r="15" spans="1:15" ht="15" customHeight="1">
      <c r="C15" s="130"/>
      <c r="D15" s="130"/>
      <c r="E15" s="130"/>
      <c r="F15" s="166"/>
    </row>
    <row r="16" spans="1:15" ht="15" customHeight="1">
      <c r="A16" t="s">
        <v>4485</v>
      </c>
      <c r="C16" s="130"/>
      <c r="D16" s="130"/>
      <c r="E16" s="130"/>
    </row>
    <row r="17" spans="1:6" ht="15" customHeight="1">
      <c r="A17" t="s">
        <v>4486</v>
      </c>
      <c r="C17" s="130"/>
      <c r="D17" s="130"/>
      <c r="E17" s="130"/>
    </row>
    <row r="18" spans="1:6" ht="15" customHeight="1">
      <c r="C18" s="130"/>
      <c r="D18" s="130"/>
      <c r="E18" s="130"/>
    </row>
    <row r="20" spans="1:6" ht="15" customHeight="1">
      <c r="B20" s="143" t="s">
        <v>4500</v>
      </c>
      <c r="C20" s="143" t="s">
        <v>37</v>
      </c>
      <c r="D20" s="143" t="s">
        <v>4418</v>
      </c>
      <c r="E20" s="143" t="s">
        <v>4484</v>
      </c>
      <c r="F20" s="143" t="s">
        <v>4550</v>
      </c>
    </row>
    <row r="21" spans="1:6" ht="15" customHeight="1">
      <c r="B21" s="88" t="s">
        <v>4497</v>
      </c>
      <c r="C21" s="144" t="e">
        <f t="shared" ref="C21:C26" si="1">MAX(E21,anzahlMitarbeiterGesamt*D21)</f>
        <v>#VALUE!</v>
      </c>
      <c r="D21" s="144" t="str">
        <f>IF(limit1='Arag-Tarif'!$D$1,'Arag-Tarif'!$D$14,IF(limit1='Arag-Tarif'!$F$1,'Arag-Tarif'!$F$14,IF(limit1='Arag-Tarif'!$H$1,'Arag-Tarif'!$H$14,IF(limit1='Arag-Tarif'!$J$1,'Arag-Tarif'!$J$14,""))))</f>
        <v/>
      </c>
      <c r="E21" s="144" t="str">
        <f>IF(limit1='Arag-Tarif'!$D$1,'Arag-Tarif'!$E$14,IF(limit1='Arag-Tarif'!$F$1,'Arag-Tarif'!$G$14,IF(limit1='Arag-Tarif'!$H$1,'Arag-Tarif'!$I$14,IF(limit1='Arag-Tarif'!$J$1,'Arag-Tarif'!$K$14,""))))</f>
        <v/>
      </c>
      <c r="F21" s="88" t="e">
        <f>IF('Arag-Tarif'!$D$21=0,"FIXED PREMIUM",IF('Arag-Tarif'!$E$21='Arag-Tarif'!$C$21,"MINIMUM PREMIUM","PREMIUM PER EMPLOYEE"))</f>
        <v>#VALUE!</v>
      </c>
    </row>
    <row r="22" spans="1:6" ht="15" customHeight="1">
      <c r="B22" s="88" t="s">
        <v>4497</v>
      </c>
      <c r="C22" s="144" t="e">
        <f t="shared" si="1"/>
        <v>#VALUE!</v>
      </c>
      <c r="D22" s="144" t="str">
        <f>IF(limit1='Arag-Tarif'!$D$1,'Arag-Tarif'!$D$14,IF(limit1='Arag-Tarif'!$F$1,'Arag-Tarif'!$F$14,IF(limit1='Arag-Tarif'!$H$1,'Arag-Tarif'!$H$14,IF(limit1='Arag-Tarif'!$J$1,'Arag-Tarif'!$J$14,""))))</f>
        <v/>
      </c>
      <c r="E22" s="144" t="str">
        <f>IF(limit1='Arag-Tarif'!$D$1,'Arag-Tarif'!$E$14,IF(limit1='Arag-Tarif'!$F$1,'Arag-Tarif'!$G$14,IF(limit1='Arag-Tarif'!$H$1,'Arag-Tarif'!$I$14,IF(limit1='Arag-Tarif'!$J$1,'Arag-Tarif'!$K$14,""))))</f>
        <v/>
      </c>
      <c r="F22" s="88" t="e">
        <f>IF('Arag-Tarif'!$D$22=0,"FIXED PREMIUM",IF('Arag-Tarif'!$E$22='Arag-Tarif'!$C$22,"MINIMUM PREMIUM","PREMIUM PER EMPLOYEE"))</f>
        <v>#VALUE!</v>
      </c>
    </row>
    <row r="23" spans="1:6" ht="15" customHeight="1">
      <c r="B23" s="88" t="s">
        <v>4498</v>
      </c>
      <c r="C23" s="144" t="e">
        <f t="shared" si="1"/>
        <v>#VALUE!</v>
      </c>
      <c r="D23" s="144" t="str">
        <f>IF(limit2='Arag-Tarif'!$D$1,'Arag-Tarif'!$D$14,IF(limit2='Arag-Tarif'!$F$1,'Arag-Tarif'!$F$14,IF(limit2='Arag-Tarif'!$H$1,'Arag-Tarif'!$H$14,IF(limit2='Arag-Tarif'!$J$1,'Arag-Tarif'!$J$14,""))))</f>
        <v/>
      </c>
      <c r="E23" s="144" t="str">
        <f>IF(limit2='Arag-Tarif'!$D$1,'Arag-Tarif'!$E$14,IF(limit2='Arag-Tarif'!$F$1,'Arag-Tarif'!$G$14,IF(limit2='Arag-Tarif'!$H$1,'Arag-Tarif'!$I$14,IF(limit2='Arag-Tarif'!$J$1,'Arag-Tarif'!$K$14,""))))</f>
        <v/>
      </c>
      <c r="F23" s="88" t="e">
        <f>IF('Arag-Tarif'!$D$23=0,"FIXED PREMIUM",IF('Arag-Tarif'!$E$23='Arag-Tarif'!$C$23,"MINIMUM PREMIUM","PREMIUM PER EMPLOYEE"))</f>
        <v>#VALUE!</v>
      </c>
    </row>
    <row r="24" spans="1:6" ht="15" customHeight="1">
      <c r="B24" s="88" t="s">
        <v>4498</v>
      </c>
      <c r="C24" s="144" t="e">
        <f t="shared" si="1"/>
        <v>#VALUE!</v>
      </c>
      <c r="D24" s="144" t="str">
        <f>IF(limit2='Arag-Tarif'!$D$1,'Arag-Tarif'!$D$14,IF(limit2='Arag-Tarif'!$F$1,'Arag-Tarif'!$F$14,IF(limit2='Arag-Tarif'!$H$1,'Arag-Tarif'!$H$14,IF(limit2='Arag-Tarif'!$J$1,'Arag-Tarif'!$J$14,""))))</f>
        <v/>
      </c>
      <c r="E24" s="144" t="str">
        <f>IF(limit2='Arag-Tarif'!$D$1,'Arag-Tarif'!$E$14,IF(limit2='Arag-Tarif'!$F$1,'Arag-Tarif'!$G$14,IF(limit2='Arag-Tarif'!$H$1,'Arag-Tarif'!$I$14,IF(limit2='Arag-Tarif'!$J$1,'Arag-Tarif'!$K$14,""))))</f>
        <v/>
      </c>
      <c r="F24" s="88" t="e">
        <f>IF('Arag-Tarif'!$D$24=0,"FIXED PREMIUM",IF('Arag-Tarif'!$E$24='Arag-Tarif'!$C$24,"MINIMUM PREMIUM","PREMIUM PER EMPLOYEE"))</f>
        <v>#VALUE!</v>
      </c>
    </row>
    <row r="25" spans="1:6" ht="15" customHeight="1">
      <c r="B25" s="88" t="s">
        <v>4499</v>
      </c>
      <c r="C25" s="144" t="e">
        <f t="shared" si="1"/>
        <v>#VALUE!</v>
      </c>
      <c r="D25" s="144" t="str">
        <f>IF(limit3='Arag-Tarif'!$D$1,'Arag-Tarif'!$D$14,IF(limit3='Arag-Tarif'!$F$1,'Arag-Tarif'!$F$14,IF(limit3='Arag-Tarif'!$H$1,'Arag-Tarif'!$H$14,IF(limit3='Arag-Tarif'!$J$1,'Arag-Tarif'!$J$14,""))))</f>
        <v/>
      </c>
      <c r="E25" s="144" t="str">
        <f>IF(limit3='Arag-Tarif'!$D$1,'Arag-Tarif'!$E$14,IF(limit3='Arag-Tarif'!$F$1,'Arag-Tarif'!$G$14,IF(limit3='Arag-Tarif'!$H$1,'Arag-Tarif'!$I$14,IF(limit3='Arag-Tarif'!$J$1,'Arag-Tarif'!$K$14,""))))</f>
        <v/>
      </c>
      <c r="F25" s="88" t="e">
        <f>IF('Arag-Tarif'!$D$25=0,"FIXED PREMIUM",IF('Arag-Tarif'!$E$25='Arag-Tarif'!$C$25,"MINIMUM PREMIUM","PREMIUM PER EMPLOYEE"))</f>
        <v>#VALUE!</v>
      </c>
    </row>
    <row r="26" spans="1:6" ht="15" customHeight="1">
      <c r="B26" s="88" t="s">
        <v>4499</v>
      </c>
      <c r="C26" s="144" t="e">
        <f t="shared" si="1"/>
        <v>#VALUE!</v>
      </c>
      <c r="D26" s="144" t="str">
        <f>IF(limit3='Arag-Tarif'!$D$1,'Arag-Tarif'!$D$14,IF(limit3='Arag-Tarif'!$F$1,'Arag-Tarif'!$F$14,IF(limit3='Arag-Tarif'!$H$1,'Arag-Tarif'!$H$14,IF(limit3='Arag-Tarif'!$J$1,'Arag-Tarif'!$J$14,""))))</f>
        <v/>
      </c>
      <c r="E26" s="144" t="str">
        <f>IF(limit3='Arag-Tarif'!$D$1,'Arag-Tarif'!$E$14,IF(limit3='Arag-Tarif'!$F$1,'Arag-Tarif'!$G$14,IF(limit3='Arag-Tarif'!$H$1,'Arag-Tarif'!$I$14,IF(limit3='Arag-Tarif'!$J$1,'Arag-Tarif'!$K$14,""))))</f>
        <v/>
      </c>
      <c r="F26" s="88" t="e">
        <f>IF('Arag-Tarif'!$D$26=0,"FIXED PREMIUM",IF('Arag-Tarif'!$E$26='Arag-Tarif'!$C$26,"MINIMUM PREMIUM","PREMIUM PER EMPLOYEE"))</f>
        <v>#VALUE!</v>
      </c>
    </row>
    <row r="27" spans="1:6" ht="15" customHeight="1">
      <c r="F27" s="181"/>
    </row>
  </sheetData>
  <mergeCells count="6">
    <mergeCell ref="J2:K2"/>
    <mergeCell ref="B14:C14"/>
    <mergeCell ref="C2:C3"/>
    <mergeCell ref="D2:E2"/>
    <mergeCell ref="F2:G2"/>
    <mergeCell ref="H2:I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outlinePr summaryBelow="0" summaryRight="0"/>
  </sheetPr>
  <dimension ref="A1:V929"/>
  <sheetViews>
    <sheetView workbookViewId="0">
      <selection activeCell="B23" sqref="B23"/>
    </sheetView>
  </sheetViews>
  <sheetFormatPr baseColWidth="10" defaultColWidth="14.42578125" defaultRowHeight="15" customHeight="1"/>
  <cols>
    <col min="1" max="1" width="27.42578125" customWidth="1"/>
    <col min="2" max="2" width="29" customWidth="1"/>
    <col min="3" max="3" width="30.42578125" customWidth="1"/>
    <col min="4" max="5" width="22.140625" customWidth="1"/>
    <col min="6" max="6" width="24.42578125" bestFit="1" customWidth="1"/>
    <col min="7" max="8" width="29.42578125" customWidth="1"/>
    <col min="9" max="9" width="38.140625" customWidth="1"/>
    <col min="10" max="10" width="27" customWidth="1"/>
  </cols>
  <sheetData>
    <row r="1" spans="1:22" ht="15" customHeight="1">
      <c r="A1" s="44" t="s">
        <v>0</v>
      </c>
      <c r="B1" s="44" t="s">
        <v>1</v>
      </c>
      <c r="C1" s="52" t="s">
        <v>4395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2" ht="15" customHeight="1">
      <c r="A2" s="9" t="s">
        <v>45</v>
      </c>
      <c r="B2" s="9">
        <f>limit1</f>
        <v>0</v>
      </c>
      <c r="C2" s="60" t="e">
        <f t="array" ref="C2">INDEX('Zuschläge-Tarif'!E2:E5,MATCH("X",'Zuschläge-Tarif'!B2:B5,0))</f>
        <v>#N/A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2" ht="15" customHeight="1">
      <c r="A3" s="9" t="s">
        <v>47</v>
      </c>
      <c r="B3" s="9">
        <f>limit2</f>
        <v>0</v>
      </c>
      <c r="C3" s="60" t="e">
        <f t="array" ref="C3">INDEX('Zuschläge-Tarif'!E2:E5,MATCH("X",'Zuschläge-Tarif'!C2:C5,0))</f>
        <v>#N/A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22" ht="15" customHeight="1">
      <c r="A4" s="9" t="s">
        <v>49</v>
      </c>
      <c r="B4" s="9">
        <f>limit3</f>
        <v>0</v>
      </c>
      <c r="C4" s="60" t="e">
        <f t="array" ref="C4">INDEX('Zuschläge-Tarif'!E2:E5,MATCH("X",'Zuschläge-Tarif'!D2:D5,0))</f>
        <v>#N/A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</row>
    <row r="5" spans="1:22" ht="15" customHeight="1">
      <c r="A5" s="9" t="s">
        <v>4396</v>
      </c>
      <c r="B5" s="9">
        <f>sublimit1</f>
        <v>0</v>
      </c>
      <c r="C5" s="60" t="e">
        <f t="array" ref="C5">INDEX('Zuschläge-PuA-Tarif'!E2:E3,MATCH("X",'Zuschläge-PuA-Tarif'!B2:B3,0))</f>
        <v>#N/A</v>
      </c>
      <c r="D5" s="35"/>
      <c r="E5" s="35"/>
      <c r="F5" s="35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</row>
    <row r="6" spans="1:22" ht="15" customHeight="1">
      <c r="A6" s="9" t="s">
        <v>4397</v>
      </c>
      <c r="B6" s="9">
        <f>sublimit2</f>
        <v>0</v>
      </c>
      <c r="C6" s="60" t="e">
        <f t="array" ref="C6">INDEX('Zuschläge-PuA-Tarif'!E2:E3,MATCH("X",'Zuschläge-PuA-Tarif'!C2:C3,0))</f>
        <v>#N/A</v>
      </c>
      <c r="D6" s="35"/>
      <c r="E6" s="35"/>
      <c r="F6" s="35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2" ht="15" customHeight="1">
      <c r="A7" s="9" t="s">
        <v>4398</v>
      </c>
      <c r="B7" s="9">
        <f>sublimit3</f>
        <v>0</v>
      </c>
      <c r="C7" s="60" t="e">
        <f t="array" ref="C7">INDEX('Zuschläge-PuA-Tarif'!E2:E3,MATCH("X",'Zuschläge-PuA-Tarif'!D2:D3,0))</f>
        <v>#N/A</v>
      </c>
      <c r="D7" s="35"/>
      <c r="E7" s="35"/>
      <c r="F7" s="35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</row>
    <row r="8" spans="1:22" ht="15" customHeight="1">
      <c r="A8" s="20"/>
      <c r="B8" s="20"/>
      <c r="C8" s="35"/>
      <c r="D8" s="35"/>
      <c r="E8" s="35"/>
      <c r="F8" s="35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</row>
    <row r="9" spans="1:22" ht="15" customHeight="1">
      <c r="A9" s="9" t="s">
        <v>4399</v>
      </c>
      <c r="B9" s="9">
        <f>anzahlMitarbeiterVZ</f>
        <v>0</v>
      </c>
      <c r="C9" s="35"/>
      <c r="D9" s="35"/>
      <c r="E9" s="35"/>
      <c r="F9" s="35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</row>
    <row r="10" spans="1:22" ht="15" customHeight="1">
      <c r="A10" s="9" t="s">
        <v>4400</v>
      </c>
      <c r="B10" s="9">
        <f>anzahlMitarbeiterTZ</f>
        <v>0</v>
      </c>
      <c r="C10" s="35"/>
      <c r="D10" s="35"/>
      <c r="E10" s="35"/>
      <c r="F10" s="35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</row>
    <row r="11" spans="1:22" ht="15" customHeight="1">
      <c r="A11" s="9" t="s">
        <v>4401</v>
      </c>
      <c r="B11" s="9">
        <f>anzahlMitarbeiterGF</f>
        <v>0</v>
      </c>
      <c r="C11" s="35"/>
      <c r="D11" s="35"/>
      <c r="E11" s="35"/>
      <c r="F11" s="35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</row>
    <row r="12" spans="1:22" ht="15" customHeight="1">
      <c r="A12" s="9" t="str">
        <f>Fragenkatalog!A17</f>
        <v>Geltungsbereich</v>
      </c>
      <c r="B12" s="9">
        <f>geltungsbereich</f>
        <v>0</v>
      </c>
      <c r="C12" s="35"/>
      <c r="D12" s="35"/>
      <c r="E12" s="35"/>
      <c r="F12" s="35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</row>
    <row r="13" spans="1:22" ht="15" customHeight="1">
      <c r="A13" s="61"/>
      <c r="B13" s="35"/>
      <c r="C13" s="35"/>
      <c r="D13" s="35"/>
      <c r="E13" s="35"/>
      <c r="F13" s="3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</row>
    <row r="14" spans="1:22" ht="15" customHeight="1">
      <c r="A14" s="50" t="s">
        <v>17</v>
      </c>
      <c r="B14" s="62">
        <f>RisikoFragen902</f>
        <v>0</v>
      </c>
      <c r="C14" s="35"/>
      <c r="D14" s="35"/>
      <c r="E14" s="35"/>
      <c r="F14" s="3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</row>
    <row r="15" spans="1:22" ht="15" customHeight="1">
      <c r="A15" s="50" t="s">
        <v>18</v>
      </c>
      <c r="B15" s="62">
        <f>coopbrokerCourtageHPST</f>
        <v>0</v>
      </c>
      <c r="C15" s="35"/>
      <c r="D15" s="35"/>
      <c r="E15" s="35"/>
      <c r="F15" s="3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</row>
    <row r="16" spans="1:22" ht="15" customHeight="1">
      <c r="A16" s="61"/>
      <c r="B16" s="35"/>
      <c r="C16" s="35"/>
      <c r="D16" s="35"/>
      <c r="E16" s="35"/>
      <c r="F16" s="3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</row>
    <row r="17" spans="1:22" ht="15" customHeight="1">
      <c r="A17" s="63" t="s">
        <v>4402</v>
      </c>
      <c r="B17" s="27">
        <f>anzahlMitarbeiterGesamt</f>
        <v>0</v>
      </c>
      <c r="C17" s="35"/>
      <c r="D17" s="35"/>
      <c r="E17" s="35"/>
      <c r="F17" s="3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</row>
    <row r="18" spans="1:22" ht="15" customHeight="1">
      <c r="A18" s="63" t="s">
        <v>4403</v>
      </c>
      <c r="B18" s="49">
        <f>INDEX('Roland-Tarif'!C2:C70,MATCH("x",'Roland-Tarif'!E2:E70,0))</f>
        <v>420.5</v>
      </c>
      <c r="C18" s="35"/>
      <c r="D18" s="35"/>
      <c r="E18" s="35"/>
      <c r="F18" s="35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</row>
    <row r="19" spans="1:22" ht="15" customHeight="1">
      <c r="A19" s="63" t="s">
        <v>4404</v>
      </c>
      <c r="B19" s="49">
        <f t="array" ref="B19">INDEX('Roland-PuA-Tarif'!C2:C70,MATCH("x",'Roland-PuA-Tarif'!E2:E70,0))</f>
        <v>44.01</v>
      </c>
      <c r="C19" s="35"/>
      <c r="D19" s="35"/>
      <c r="E19" s="35"/>
      <c r="F19" s="35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</row>
    <row r="20" spans="1:22" ht="15" customHeight="1">
      <c r="A20" s="63" t="s">
        <v>4405</v>
      </c>
      <c r="B20" s="49">
        <f>Referrals!E37</f>
        <v>1</v>
      </c>
      <c r="C20" s="35"/>
      <c r="D20" s="35"/>
      <c r="E20" s="35"/>
      <c r="F20" s="3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</row>
    <row r="21" spans="1:22" ht="15" customHeight="1">
      <c r="A21" s="63" t="s">
        <v>4406</v>
      </c>
      <c r="B21" s="49">
        <f>IF(geltungsbereich = "EU", -10, 0)</f>
        <v>0</v>
      </c>
      <c r="C21" s="35"/>
      <c r="D21" s="35"/>
      <c r="E21" s="35"/>
      <c r="F21" s="35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</row>
    <row r="22" spans="1:22" ht="15" customHeight="1">
      <c r="A22" s="63" t="s">
        <v>4407</v>
      </c>
      <c r="B22" s="49">
        <v>0.4</v>
      </c>
      <c r="C22" s="35"/>
      <c r="D22" s="35"/>
      <c r="E22" s="35"/>
      <c r="F22" s="35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</row>
    <row r="23" spans="1:22" ht="15" customHeight="1">
      <c r="A23" s="61"/>
      <c r="B23" s="35"/>
      <c r="C23" s="35"/>
      <c r="D23" s="35"/>
      <c r="E23" s="35"/>
      <c r="F23" s="35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</row>
    <row r="24" spans="1:22" ht="15" customHeight="1">
      <c r="A24" s="21"/>
      <c r="B24" s="64" t="s">
        <v>4408</v>
      </c>
      <c r="C24" s="21" t="s">
        <v>4409</v>
      </c>
      <c r="D24" s="65" t="s">
        <v>4410</v>
      </c>
      <c r="E24" s="118" t="s">
        <v>4489</v>
      </c>
      <c r="F24" s="118" t="s">
        <v>4490</v>
      </c>
      <c r="G24" s="66" t="s">
        <v>4411</v>
      </c>
      <c r="H24" s="66" t="s">
        <v>4412</v>
      </c>
      <c r="I24" s="66" t="s">
        <v>4413</v>
      </c>
      <c r="J24" s="66" t="s">
        <v>4414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</row>
    <row r="25" spans="1:22" ht="15" customHeight="1">
      <c r="A25" s="67" t="s">
        <v>43</v>
      </c>
      <c r="B25" s="68">
        <f>B2</f>
        <v>0</v>
      </c>
      <c r="C25" s="68" t="str">
        <f>IF(AND(ISNUMBER(sublimit1), sublimit1 &gt; 0),sublimit1,"")</f>
        <v/>
      </c>
      <c r="D25" s="69" t="e">
        <f>I25-J25</f>
        <v>#VALUE!</v>
      </c>
      <c r="E25" s="123">
        <f t="shared" ref="E25:E30" si="0">IF(RisikoFragen902="0",MAX(ROUND((B$22-$B$15)/(1-$B$15),4),0),MAX(ROUND((B$22-$B$15),4),0))</f>
        <v>0.4</v>
      </c>
      <c r="F25" s="71">
        <f>(B14*B15/100)</f>
        <v>0</v>
      </c>
      <c r="G25" s="69" t="str">
        <f>IF(AND(ISNUMBER(B2),ISNUMBER(C2)),ROUND(B18*((B$20)*(100+B$21)*(100+C2)/100)/100,2),"-")</f>
        <v>-</v>
      </c>
      <c r="H25" s="69">
        <f>IF(AND(ISNUMBER(sublimit1), sublimit1 &gt; 0),ROUND(B19*(C5+100)/100, 2),0)</f>
        <v>0</v>
      </c>
      <c r="I25" s="69" t="e">
        <f t="shared" ref="I25:I30" si="1">G25+H25</f>
        <v>#VALUE!</v>
      </c>
      <c r="J25" s="69">
        <f t="shared" ref="J25:J30" si="2">IF(RisikoFragen902="0",ROUND(I25*$B$15,2),0)</f>
        <v>0</v>
      </c>
    </row>
    <row r="26" spans="1:22" ht="15" customHeight="1">
      <c r="A26" s="67" t="s">
        <v>45</v>
      </c>
      <c r="B26" s="68">
        <f t="shared" ref="B26:B27" si="3">B2</f>
        <v>0</v>
      </c>
      <c r="D26" s="69" t="e">
        <f t="shared" ref="D26:D30" si="4">I26-J26</f>
        <v>#VALUE!</v>
      </c>
      <c r="E26" s="123">
        <f t="shared" si="0"/>
        <v>0.4</v>
      </c>
      <c r="F26" s="70">
        <f>(B14*B15/100)</f>
        <v>0</v>
      </c>
      <c r="G26" s="69" t="str">
        <f>IF(AND(ISNUMBER(B2),ISNUMBER(C2)),ROUND(B18*((B$20)*(100+B$21)*(100+C2)/100)/100,2),"-")</f>
        <v>-</v>
      </c>
      <c r="H26" s="69"/>
      <c r="I26" s="69" t="e">
        <f t="shared" si="1"/>
        <v>#VALUE!</v>
      </c>
      <c r="J26" s="69">
        <f t="shared" si="2"/>
        <v>0</v>
      </c>
    </row>
    <row r="27" spans="1:22" ht="15" customHeight="1">
      <c r="A27" s="67" t="s">
        <v>46</v>
      </c>
      <c r="B27" s="68">
        <f t="shared" si="3"/>
        <v>0</v>
      </c>
      <c r="C27" s="68" t="str">
        <f>IF(AND(ISNUMBER(sublimit2), sublimit2 &gt; 0),sublimit2,"")</f>
        <v/>
      </c>
      <c r="D27" s="69" t="e">
        <f t="shared" si="4"/>
        <v>#VALUE!</v>
      </c>
      <c r="E27" s="123">
        <f t="shared" si="0"/>
        <v>0.4</v>
      </c>
      <c r="F27" s="71">
        <f>(B14*B15/100)</f>
        <v>0</v>
      </c>
      <c r="G27" s="69" t="str">
        <f>IF(AND(ISNUMBER(B3),ISNUMBER(C3)),ROUND(B18*((B$20)*(100+B$21)*(100+C3)/100)/100,2),"-")</f>
        <v>-</v>
      </c>
      <c r="H27" s="69">
        <f>IF(AND(ISNUMBER(sublimit2), sublimit2 &gt; 0),ROUND(B19*(C6+100)/100, 2),0)</f>
        <v>0</v>
      </c>
      <c r="I27" s="69" t="e">
        <f t="shared" si="1"/>
        <v>#VALUE!</v>
      </c>
      <c r="J27" s="69">
        <f t="shared" si="2"/>
        <v>0</v>
      </c>
    </row>
    <row r="28" spans="1:22" ht="15" customHeight="1">
      <c r="A28" s="67" t="s">
        <v>47</v>
      </c>
      <c r="B28" s="68">
        <f t="shared" ref="B28:B29" si="5">B3</f>
        <v>0</v>
      </c>
      <c r="D28" s="69" t="e">
        <f t="shared" si="4"/>
        <v>#VALUE!</v>
      </c>
      <c r="E28" s="123">
        <f t="shared" si="0"/>
        <v>0.4</v>
      </c>
      <c r="F28" s="70">
        <f>(B14*B15/100)</f>
        <v>0</v>
      </c>
      <c r="G28" s="69" t="str">
        <f>IF(AND(ISNUMBER(B3),ISNUMBER(C3)),ROUND(B18*((B$20)*(100+B$21)*(100+C3)/100)/100,2),"-")</f>
        <v>-</v>
      </c>
      <c r="H28" s="69"/>
      <c r="I28" s="69" t="e">
        <f t="shared" si="1"/>
        <v>#VALUE!</v>
      </c>
      <c r="J28" s="69">
        <f t="shared" si="2"/>
        <v>0</v>
      </c>
    </row>
    <row r="29" spans="1:22" ht="15" customHeight="1">
      <c r="A29" s="67" t="s">
        <v>48</v>
      </c>
      <c r="B29" s="68">
        <f t="shared" si="5"/>
        <v>0</v>
      </c>
      <c r="C29" s="68" t="str">
        <f>IF(AND(ISNUMBER(sublimit3), sublimit3 &gt; 0),sublimit3,"")</f>
        <v/>
      </c>
      <c r="D29" s="69" t="e">
        <f t="shared" si="4"/>
        <v>#VALUE!</v>
      </c>
      <c r="E29" s="123">
        <f t="shared" si="0"/>
        <v>0.4</v>
      </c>
      <c r="F29" s="71">
        <f>(B14*B15/100)</f>
        <v>0</v>
      </c>
      <c r="G29" s="69" t="str">
        <f>IF(AND(ISNUMBER(B4),ISNUMBER(C4)),ROUND(B18*((B$20)*(100+B$21)*(100+C4)/100)/100,2),"-")</f>
        <v>-</v>
      </c>
      <c r="H29" s="69">
        <f>IF(AND(ISNUMBER(sublimit3), sublimit3 &gt; 0),ROUND(B19*(C7+100)/100, 2),0)</f>
        <v>0</v>
      </c>
      <c r="I29" s="69" t="e">
        <f t="shared" si="1"/>
        <v>#VALUE!</v>
      </c>
      <c r="J29" s="69">
        <f t="shared" si="2"/>
        <v>0</v>
      </c>
    </row>
    <row r="30" spans="1:22" ht="15" customHeight="1">
      <c r="A30" s="67" t="s">
        <v>49</v>
      </c>
      <c r="B30" s="68">
        <f>B4</f>
        <v>0</v>
      </c>
      <c r="D30" s="69" t="e">
        <f t="shared" si="4"/>
        <v>#VALUE!</v>
      </c>
      <c r="E30" s="123">
        <f t="shared" si="0"/>
        <v>0.4</v>
      </c>
      <c r="F30" s="70">
        <f>(B14*B15/100)</f>
        <v>0</v>
      </c>
      <c r="G30" s="69" t="str">
        <f>IF(AND(ISNUMBER(B4),ISNUMBER(C4)),ROUND(B18*((B$20)*(100+B$21)*(100+C4)/100)/100,2),"-")</f>
        <v>-</v>
      </c>
      <c r="H30" s="69"/>
      <c r="I30" s="69" t="e">
        <f t="shared" si="1"/>
        <v>#VALUE!</v>
      </c>
      <c r="J30" s="69">
        <f t="shared" si="2"/>
        <v>0</v>
      </c>
    </row>
    <row r="31" spans="1:22" ht="15" customHeight="1">
      <c r="A31" s="57"/>
    </row>
    <row r="32" spans="1:22" ht="15" customHeight="1">
      <c r="A32" s="57"/>
    </row>
    <row r="33" spans="1:22" ht="15" customHeight="1">
      <c r="A33" s="57"/>
    </row>
    <row r="34" spans="1:22" ht="15" customHeight="1">
      <c r="A34" s="57"/>
    </row>
    <row r="35" spans="1:22" ht="15" customHeight="1">
      <c r="A35" s="57"/>
    </row>
    <row r="36" spans="1:22">
      <c r="A36" s="57"/>
    </row>
    <row r="37" spans="1:22">
      <c r="A37" s="57"/>
    </row>
    <row r="38" spans="1:22">
      <c r="A38" s="57"/>
    </row>
    <row r="39" spans="1:22">
      <c r="A39" s="57"/>
    </row>
    <row r="40" spans="1:22">
      <c r="A40" s="57"/>
    </row>
    <row r="41" spans="1:22">
      <c r="A41" s="57"/>
    </row>
    <row r="42" spans="1:22">
      <c r="A42" s="57"/>
    </row>
    <row r="43" spans="1:22">
      <c r="A43" s="57"/>
    </row>
    <row r="44" spans="1:22">
      <c r="A44" s="57"/>
    </row>
    <row r="45" spans="1:22">
      <c r="A45" s="57"/>
    </row>
    <row r="46" spans="1:22">
      <c r="A46" s="57"/>
    </row>
    <row r="47" spans="1:22">
      <c r="A47" s="57"/>
    </row>
    <row r="48" spans="1:22">
      <c r="A48" s="57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</row>
    <row r="49" spans="1:22">
      <c r="A49" s="57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</row>
    <row r="50" spans="1:22">
      <c r="A50" s="57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</row>
    <row r="51" spans="1:22">
      <c r="A51" s="57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</row>
    <row r="52" spans="1:22">
      <c r="A52" s="57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</row>
    <row r="53" spans="1:22">
      <c r="A53" s="57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</row>
    <row r="54" spans="1:22">
      <c r="A54" s="57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</row>
    <row r="55" spans="1:22">
      <c r="A55" s="57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</row>
    <row r="56" spans="1:22">
      <c r="A56" s="57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</row>
    <row r="57" spans="1:22">
      <c r="A57" s="57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</row>
    <row r="58" spans="1:22">
      <c r="A58" s="57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</row>
    <row r="59" spans="1:22">
      <c r="A59" s="57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</row>
    <row r="60" spans="1:22">
      <c r="A60" s="57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</row>
    <row r="61" spans="1:22">
      <c r="A61" s="57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</row>
    <row r="62" spans="1:22">
      <c r="A62" s="57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</row>
    <row r="63" spans="1:22">
      <c r="A63" s="57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</row>
    <row r="64" spans="1:22">
      <c r="A64" s="57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</row>
    <row r="65" spans="1:22">
      <c r="A65" s="57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</row>
    <row r="66" spans="1:22">
      <c r="A66" s="57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</row>
    <row r="67" spans="1:22">
      <c r="A67" s="57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</row>
    <row r="68" spans="1:22">
      <c r="A68" s="57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</row>
    <row r="69" spans="1:22">
      <c r="A69" s="57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</row>
    <row r="70" spans="1:22">
      <c r="A70" s="57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</row>
    <row r="71" spans="1:22">
      <c r="A71" s="57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</row>
    <row r="72" spans="1:22">
      <c r="A72" s="57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</row>
    <row r="73" spans="1:22">
      <c r="A73" s="57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</row>
    <row r="74" spans="1:22">
      <c r="A74" s="57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</row>
    <row r="75" spans="1:22">
      <c r="A75" s="57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</row>
    <row r="76" spans="1:22">
      <c r="A76" s="57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</row>
    <row r="77" spans="1:22">
      <c r="A77" s="57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</row>
    <row r="78" spans="1:22">
      <c r="A78" s="57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</row>
    <row r="79" spans="1:22">
      <c r="A79" s="57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</row>
    <row r="80" spans="1:22">
      <c r="A80" s="57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</row>
    <row r="81" spans="1:22">
      <c r="A81" s="57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</row>
    <row r="82" spans="1:22">
      <c r="A82" s="57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</row>
    <row r="83" spans="1:22">
      <c r="A83" s="57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</row>
    <row r="84" spans="1:22">
      <c r="A84" s="57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</row>
    <row r="85" spans="1:22">
      <c r="A85" s="57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</row>
    <row r="86" spans="1:22">
      <c r="A86" s="57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</row>
    <row r="87" spans="1:22">
      <c r="A87" s="57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</row>
    <row r="88" spans="1:22">
      <c r="A88" s="57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</row>
    <row r="89" spans="1:22">
      <c r="A89" s="57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</row>
    <row r="90" spans="1:22">
      <c r="A90" s="57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</row>
    <row r="91" spans="1:22">
      <c r="A91" s="57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</row>
    <row r="92" spans="1:22">
      <c r="A92" s="57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</row>
    <row r="93" spans="1:22">
      <c r="A93" s="57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</row>
    <row r="94" spans="1:22">
      <c r="A94" s="57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</row>
    <row r="95" spans="1:22">
      <c r="A95" s="57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</row>
    <row r="96" spans="1:22">
      <c r="A96" s="57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</row>
    <row r="97" spans="1:22">
      <c r="A97" s="57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</row>
    <row r="98" spans="1:22">
      <c r="A98" s="57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</row>
    <row r="99" spans="1:22">
      <c r="A99" s="57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</row>
    <row r="100" spans="1:22">
      <c r="A100" s="57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</row>
    <row r="101" spans="1:22">
      <c r="A101" s="57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</row>
    <row r="102" spans="1:22">
      <c r="A102" s="57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</row>
    <row r="103" spans="1:22">
      <c r="A103" s="57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</row>
    <row r="104" spans="1:22">
      <c r="A104" s="57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</row>
    <row r="105" spans="1:22">
      <c r="A105" s="57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</row>
    <row r="106" spans="1:22">
      <c r="A106" s="57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</row>
    <row r="107" spans="1:22">
      <c r="A107" s="57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</row>
    <row r="108" spans="1:22">
      <c r="A108" s="57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</row>
    <row r="109" spans="1:22">
      <c r="A109" s="57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</row>
    <row r="110" spans="1:22">
      <c r="A110" s="57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</row>
    <row r="111" spans="1:22">
      <c r="A111" s="57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</row>
    <row r="112" spans="1:22">
      <c r="A112" s="57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</row>
    <row r="113" spans="1:22">
      <c r="A113" s="57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</row>
    <row r="114" spans="1:22">
      <c r="A114" s="57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</row>
    <row r="115" spans="1:22">
      <c r="A115" s="57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</row>
    <row r="116" spans="1:22">
      <c r="A116" s="57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</row>
    <row r="117" spans="1:22">
      <c r="A117" s="57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</row>
    <row r="118" spans="1:22">
      <c r="A118" s="57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</row>
    <row r="119" spans="1:22">
      <c r="A119" s="57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</row>
    <row r="120" spans="1:22">
      <c r="A120" s="57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</row>
    <row r="121" spans="1:22">
      <c r="A121" s="57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</row>
    <row r="122" spans="1:22">
      <c r="A122" s="57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</row>
    <row r="123" spans="1:22">
      <c r="A123" s="57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</row>
    <row r="124" spans="1:22">
      <c r="A124" s="57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</row>
    <row r="125" spans="1:22">
      <c r="A125" s="57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</row>
    <row r="126" spans="1:22">
      <c r="A126" s="57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</row>
    <row r="127" spans="1:22">
      <c r="A127" s="57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</row>
    <row r="128" spans="1:22">
      <c r="A128" s="57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</row>
    <row r="129" spans="1:22">
      <c r="A129" s="57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</row>
    <row r="130" spans="1:22">
      <c r="A130" s="57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</row>
    <row r="131" spans="1:22">
      <c r="A131" s="57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</row>
    <row r="132" spans="1:22">
      <c r="A132" s="57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</row>
    <row r="133" spans="1:22">
      <c r="A133" s="57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</row>
    <row r="134" spans="1:22">
      <c r="A134" s="57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</row>
    <row r="135" spans="1:22">
      <c r="A135" s="57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</row>
    <row r="136" spans="1:22">
      <c r="A136" s="57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</row>
    <row r="137" spans="1:22">
      <c r="A137" s="57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</row>
    <row r="138" spans="1:22">
      <c r="A138" s="57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</row>
    <row r="139" spans="1:22">
      <c r="A139" s="57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</row>
    <row r="140" spans="1:22">
      <c r="A140" s="57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</row>
    <row r="141" spans="1:22">
      <c r="A141" s="57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</row>
    <row r="142" spans="1:22">
      <c r="A142" s="57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</row>
    <row r="143" spans="1:22">
      <c r="A143" s="57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</row>
    <row r="144" spans="1:22">
      <c r="A144" s="57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</row>
    <row r="145" spans="1:22">
      <c r="A145" s="57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</row>
    <row r="146" spans="1:22">
      <c r="A146" s="57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</row>
    <row r="147" spans="1:22">
      <c r="A147" s="57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</row>
    <row r="148" spans="1:22">
      <c r="A148" s="57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</row>
    <row r="149" spans="1:22">
      <c r="A149" s="57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</row>
    <row r="150" spans="1:22">
      <c r="A150" s="57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</row>
    <row r="151" spans="1:22">
      <c r="A151" s="57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</row>
    <row r="152" spans="1:22">
      <c r="A152" s="57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</row>
    <row r="153" spans="1:22">
      <c r="A153" s="57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</row>
    <row r="154" spans="1:22">
      <c r="A154" s="57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</row>
    <row r="155" spans="1:22">
      <c r="A155" s="57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</row>
    <row r="156" spans="1:22">
      <c r="A156" s="57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</row>
    <row r="157" spans="1:22">
      <c r="A157" s="57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</row>
    <row r="158" spans="1:22">
      <c r="A158" s="57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</row>
    <row r="159" spans="1:22">
      <c r="A159" s="57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</row>
    <row r="160" spans="1:22">
      <c r="A160" s="57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</row>
    <row r="161" spans="1:22">
      <c r="A161" s="57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</row>
    <row r="162" spans="1:22">
      <c r="A162" s="57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</row>
    <row r="163" spans="1:22">
      <c r="A163" s="57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</row>
    <row r="164" spans="1:22">
      <c r="A164" s="57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</row>
    <row r="165" spans="1:22">
      <c r="A165" s="57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</row>
    <row r="166" spans="1:22">
      <c r="A166" s="57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</row>
    <row r="167" spans="1:22">
      <c r="A167" s="57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</row>
    <row r="168" spans="1:22">
      <c r="A168" s="57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</row>
    <row r="169" spans="1:22">
      <c r="A169" s="57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</row>
    <row r="170" spans="1:22">
      <c r="A170" s="57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</row>
    <row r="171" spans="1:22">
      <c r="A171" s="57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</row>
    <row r="172" spans="1:22">
      <c r="A172" s="57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</row>
    <row r="173" spans="1:22">
      <c r="A173" s="57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</row>
    <row r="174" spans="1:22">
      <c r="A174" s="57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</row>
    <row r="175" spans="1:22">
      <c r="A175" s="57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</row>
    <row r="176" spans="1:22">
      <c r="A176" s="57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</row>
    <row r="177" spans="1:22">
      <c r="A177" s="57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</row>
    <row r="178" spans="1:22">
      <c r="A178" s="57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</row>
    <row r="179" spans="1:22">
      <c r="A179" s="57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</row>
    <row r="180" spans="1:22">
      <c r="A180" s="57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</row>
    <row r="181" spans="1:22">
      <c r="A181" s="57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</row>
    <row r="182" spans="1:22">
      <c r="A182" s="57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</row>
    <row r="183" spans="1:22">
      <c r="A183" s="57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</row>
    <row r="184" spans="1:22">
      <c r="A184" s="57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</row>
    <row r="185" spans="1:22">
      <c r="A185" s="57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</row>
    <row r="186" spans="1:22">
      <c r="A186" s="57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</row>
    <row r="187" spans="1:22">
      <c r="A187" s="57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</row>
    <row r="188" spans="1:22">
      <c r="A188" s="57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</row>
    <row r="189" spans="1:22">
      <c r="A189" s="57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</row>
    <row r="190" spans="1:22">
      <c r="A190" s="57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</row>
    <row r="191" spans="1:22">
      <c r="A191" s="57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</row>
    <row r="192" spans="1:22">
      <c r="A192" s="57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</row>
    <row r="193" spans="1:22">
      <c r="A193" s="57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</row>
    <row r="194" spans="1:22">
      <c r="A194" s="57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</row>
    <row r="195" spans="1:22">
      <c r="A195" s="57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</row>
    <row r="196" spans="1:22">
      <c r="A196" s="57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</row>
    <row r="197" spans="1:22">
      <c r="A197" s="57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</row>
    <row r="198" spans="1:22">
      <c r="A198" s="57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</row>
    <row r="199" spans="1:22">
      <c r="A199" s="57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</row>
    <row r="200" spans="1:22">
      <c r="A200" s="57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</row>
    <row r="201" spans="1:22">
      <c r="A201" s="57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</row>
    <row r="202" spans="1:22">
      <c r="A202" s="57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</row>
    <row r="203" spans="1:22">
      <c r="A203" s="57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</row>
    <row r="204" spans="1:22">
      <c r="A204" s="57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</row>
    <row r="205" spans="1:22">
      <c r="A205" s="57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</row>
    <row r="206" spans="1:22">
      <c r="A206" s="57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</row>
    <row r="207" spans="1:22">
      <c r="A207" s="57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</row>
    <row r="208" spans="1:22">
      <c r="A208" s="57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</row>
    <row r="209" spans="1:22">
      <c r="A209" s="57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</row>
    <row r="210" spans="1:22">
      <c r="A210" s="57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</row>
    <row r="211" spans="1:22">
      <c r="A211" s="57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</row>
    <row r="212" spans="1:22">
      <c r="A212" s="57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</row>
    <row r="213" spans="1:22">
      <c r="A213" s="57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</row>
    <row r="214" spans="1:22">
      <c r="A214" s="57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</row>
    <row r="215" spans="1:22">
      <c r="A215" s="57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</row>
    <row r="216" spans="1:22">
      <c r="A216" s="57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</row>
    <row r="217" spans="1:22">
      <c r="A217" s="57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</row>
    <row r="218" spans="1:22">
      <c r="A218" s="57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</row>
    <row r="219" spans="1:22">
      <c r="A219" s="57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</row>
    <row r="220" spans="1:22">
      <c r="A220" s="57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</row>
    <row r="221" spans="1:22">
      <c r="A221" s="57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</row>
    <row r="222" spans="1:22">
      <c r="A222" s="57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</row>
    <row r="223" spans="1:22">
      <c r="A223" s="57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</row>
    <row r="224" spans="1:22">
      <c r="A224" s="57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</row>
    <row r="225" spans="1:22">
      <c r="A225" s="57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</row>
    <row r="226" spans="1:22">
      <c r="A226" s="57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</row>
    <row r="227" spans="1:22">
      <c r="A227" s="57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</row>
    <row r="228" spans="1:22">
      <c r="A228" s="57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</row>
    <row r="229" spans="1:22">
      <c r="A229" s="57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</row>
    <row r="230" spans="1:22">
      <c r="A230" s="57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</row>
    <row r="231" spans="1:22">
      <c r="A231" s="57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</row>
    <row r="232" spans="1:22">
      <c r="A232" s="57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</row>
    <row r="233" spans="1:22">
      <c r="A233" s="57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</row>
    <row r="234" spans="1:22">
      <c r="A234" s="57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</row>
    <row r="235" spans="1:22">
      <c r="A235" s="57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</row>
    <row r="236" spans="1:22">
      <c r="A236" s="57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</row>
    <row r="237" spans="1:22">
      <c r="A237" s="57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</row>
    <row r="238" spans="1:22">
      <c r="A238" s="57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</row>
    <row r="239" spans="1:22">
      <c r="A239" s="57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</row>
    <row r="240" spans="1:22">
      <c r="A240" s="57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</row>
    <row r="241" spans="1:22">
      <c r="A241" s="57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</row>
    <row r="242" spans="1:22">
      <c r="A242" s="57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</row>
    <row r="243" spans="1:22">
      <c r="A243" s="57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</row>
    <row r="244" spans="1:22">
      <c r="A244" s="57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</row>
    <row r="245" spans="1:22">
      <c r="A245" s="57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</row>
    <row r="246" spans="1:22">
      <c r="A246" s="57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</row>
    <row r="247" spans="1:22">
      <c r="A247" s="57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</row>
    <row r="248" spans="1:22">
      <c r="A248" s="57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</row>
    <row r="249" spans="1:22">
      <c r="A249" s="57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</row>
    <row r="250" spans="1:22">
      <c r="A250" s="57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</row>
    <row r="251" spans="1:22">
      <c r="A251" s="57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</row>
    <row r="252" spans="1:22">
      <c r="A252" s="57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</row>
    <row r="253" spans="1:22">
      <c r="A253" s="57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</row>
    <row r="254" spans="1:22">
      <c r="A254" s="57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</row>
    <row r="255" spans="1:22">
      <c r="A255" s="57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</row>
    <row r="256" spans="1:22">
      <c r="A256" s="57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</row>
    <row r="257" spans="1:22">
      <c r="A257" s="57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</row>
    <row r="258" spans="1:22">
      <c r="A258" s="57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</row>
    <row r="259" spans="1:22">
      <c r="A259" s="57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</row>
    <row r="260" spans="1:22">
      <c r="A260" s="57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</row>
    <row r="261" spans="1:22">
      <c r="A261" s="57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</row>
    <row r="262" spans="1:22">
      <c r="A262" s="57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</row>
    <row r="263" spans="1:22">
      <c r="A263" s="57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</row>
    <row r="264" spans="1:22">
      <c r="A264" s="57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</row>
    <row r="265" spans="1:22">
      <c r="A265" s="57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</row>
    <row r="266" spans="1:22">
      <c r="A266" s="57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</row>
    <row r="267" spans="1:22">
      <c r="A267" s="57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</row>
    <row r="268" spans="1:22">
      <c r="A268" s="57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</row>
    <row r="269" spans="1:22">
      <c r="A269" s="57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</row>
    <row r="270" spans="1:22">
      <c r="A270" s="57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</row>
    <row r="271" spans="1:22">
      <c r="A271" s="57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</row>
    <row r="272" spans="1:22">
      <c r="A272" s="57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</row>
    <row r="273" spans="1:22">
      <c r="A273" s="57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</row>
    <row r="274" spans="1:22">
      <c r="A274" s="57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</row>
    <row r="275" spans="1:22">
      <c r="A275" s="57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</row>
    <row r="276" spans="1:22">
      <c r="A276" s="57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</row>
    <row r="277" spans="1:22">
      <c r="A277" s="57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</row>
    <row r="278" spans="1:22">
      <c r="A278" s="57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</row>
    <row r="279" spans="1:22">
      <c r="A279" s="57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</row>
    <row r="280" spans="1:22">
      <c r="A280" s="57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</row>
    <row r="281" spans="1:22">
      <c r="A281" s="57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</row>
    <row r="282" spans="1:22">
      <c r="A282" s="57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</row>
    <row r="283" spans="1:22">
      <c r="A283" s="57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</row>
    <row r="284" spans="1:22">
      <c r="A284" s="57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</row>
    <row r="285" spans="1:22">
      <c r="A285" s="57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</row>
    <row r="286" spans="1:22">
      <c r="A286" s="57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</row>
    <row r="287" spans="1:22">
      <c r="A287" s="57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</row>
    <row r="288" spans="1:22">
      <c r="A288" s="57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</row>
    <row r="289" spans="1:22">
      <c r="A289" s="57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</row>
    <row r="290" spans="1:22">
      <c r="A290" s="57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</row>
    <row r="291" spans="1:22">
      <c r="A291" s="57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</row>
    <row r="292" spans="1:22">
      <c r="A292" s="57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</row>
    <row r="293" spans="1:22">
      <c r="A293" s="57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</row>
    <row r="294" spans="1:22">
      <c r="A294" s="57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</row>
    <row r="295" spans="1:22">
      <c r="A295" s="57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</row>
    <row r="296" spans="1:22">
      <c r="A296" s="57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</row>
    <row r="297" spans="1:22">
      <c r="A297" s="57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</row>
    <row r="298" spans="1:22">
      <c r="A298" s="57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</row>
    <row r="299" spans="1:22">
      <c r="A299" s="57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</row>
    <row r="300" spans="1:22">
      <c r="A300" s="57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</row>
    <row r="301" spans="1:22">
      <c r="A301" s="57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</row>
    <row r="302" spans="1:22">
      <c r="A302" s="57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</row>
    <row r="303" spans="1:22">
      <c r="A303" s="57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</row>
    <row r="304" spans="1:22">
      <c r="A304" s="57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</row>
    <row r="305" spans="1:22">
      <c r="A305" s="57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</row>
    <row r="306" spans="1:22">
      <c r="A306" s="57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</row>
    <row r="307" spans="1:22">
      <c r="A307" s="57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</row>
    <row r="308" spans="1:22">
      <c r="A308" s="57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</row>
    <row r="309" spans="1:22">
      <c r="A309" s="57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</row>
    <row r="310" spans="1:22">
      <c r="A310" s="57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</row>
    <row r="311" spans="1:22">
      <c r="A311" s="57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</row>
    <row r="312" spans="1:22">
      <c r="A312" s="57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</row>
    <row r="313" spans="1:22">
      <c r="A313" s="57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</row>
    <row r="314" spans="1:22">
      <c r="A314" s="57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</row>
    <row r="315" spans="1:22">
      <c r="A315" s="57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</row>
    <row r="316" spans="1:22">
      <c r="A316" s="57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</row>
    <row r="317" spans="1:22">
      <c r="A317" s="57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</row>
    <row r="318" spans="1:22">
      <c r="A318" s="57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</row>
    <row r="319" spans="1:22">
      <c r="A319" s="57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</row>
    <row r="320" spans="1:22">
      <c r="A320" s="57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</row>
    <row r="321" spans="1:22">
      <c r="A321" s="57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</row>
    <row r="322" spans="1:22">
      <c r="A322" s="57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</row>
    <row r="323" spans="1:22">
      <c r="A323" s="57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</row>
    <row r="324" spans="1:22">
      <c r="A324" s="57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</row>
    <row r="325" spans="1:22">
      <c r="A325" s="57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</row>
    <row r="326" spans="1:22">
      <c r="A326" s="57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</row>
    <row r="327" spans="1:22">
      <c r="A327" s="57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</row>
    <row r="328" spans="1:22">
      <c r="A328" s="57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</row>
    <row r="329" spans="1:22">
      <c r="A329" s="57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</row>
    <row r="330" spans="1:22">
      <c r="A330" s="57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</row>
    <row r="331" spans="1:22">
      <c r="A331" s="57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</row>
    <row r="332" spans="1:22">
      <c r="A332" s="57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</row>
    <row r="333" spans="1:22">
      <c r="A333" s="57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</row>
    <row r="334" spans="1:22">
      <c r="A334" s="57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</row>
    <row r="335" spans="1:22">
      <c r="A335" s="57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</row>
    <row r="336" spans="1:22">
      <c r="A336" s="57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</row>
    <row r="337" spans="1:22">
      <c r="A337" s="57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</row>
    <row r="338" spans="1:22">
      <c r="A338" s="57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</row>
    <row r="339" spans="1:22">
      <c r="A339" s="57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</row>
    <row r="340" spans="1:22">
      <c r="A340" s="57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</row>
    <row r="341" spans="1:22">
      <c r="A341" s="57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</row>
    <row r="342" spans="1:22">
      <c r="A342" s="57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</row>
    <row r="343" spans="1:22">
      <c r="A343" s="57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</row>
    <row r="344" spans="1:22">
      <c r="A344" s="57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</row>
    <row r="345" spans="1:22">
      <c r="A345" s="57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</row>
    <row r="346" spans="1:22">
      <c r="A346" s="57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</row>
    <row r="347" spans="1:22">
      <c r="A347" s="57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</row>
    <row r="348" spans="1:22">
      <c r="A348" s="57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</row>
    <row r="349" spans="1:22">
      <c r="A349" s="57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</row>
    <row r="350" spans="1:22">
      <c r="A350" s="57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</row>
    <row r="351" spans="1:22">
      <c r="A351" s="57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</row>
    <row r="352" spans="1:22">
      <c r="A352" s="57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</row>
    <row r="353" spans="1:22">
      <c r="A353" s="57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</row>
    <row r="354" spans="1:22">
      <c r="A354" s="57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</row>
    <row r="355" spans="1:22">
      <c r="A355" s="57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</row>
    <row r="356" spans="1:22">
      <c r="A356" s="57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</row>
    <row r="357" spans="1:22">
      <c r="A357" s="57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</row>
    <row r="358" spans="1:22">
      <c r="A358" s="57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</row>
    <row r="359" spans="1:22">
      <c r="A359" s="57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</row>
    <row r="360" spans="1:22">
      <c r="A360" s="57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</row>
    <row r="361" spans="1:22">
      <c r="A361" s="57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</row>
    <row r="362" spans="1:22">
      <c r="A362" s="57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</row>
    <row r="363" spans="1:22">
      <c r="A363" s="57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</row>
    <row r="364" spans="1:22">
      <c r="A364" s="57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</row>
    <row r="365" spans="1:22">
      <c r="A365" s="57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</row>
    <row r="366" spans="1:22">
      <c r="A366" s="57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</row>
    <row r="367" spans="1:22">
      <c r="A367" s="57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</row>
    <row r="368" spans="1:22">
      <c r="A368" s="57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</row>
    <row r="369" spans="1:22">
      <c r="A369" s="57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</row>
    <row r="370" spans="1:22">
      <c r="A370" s="57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</row>
    <row r="371" spans="1:22">
      <c r="A371" s="57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</row>
    <row r="372" spans="1:22">
      <c r="A372" s="57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</row>
    <row r="373" spans="1:22">
      <c r="A373" s="57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</row>
    <row r="374" spans="1:22">
      <c r="A374" s="57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</row>
    <row r="375" spans="1:22">
      <c r="A375" s="57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</row>
    <row r="376" spans="1:22">
      <c r="A376" s="57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</row>
    <row r="377" spans="1:22">
      <c r="A377" s="57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</row>
    <row r="378" spans="1:22">
      <c r="A378" s="57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</row>
    <row r="379" spans="1:22">
      <c r="A379" s="57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</row>
    <row r="380" spans="1:22">
      <c r="A380" s="57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</row>
    <row r="381" spans="1:22">
      <c r="A381" s="57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</row>
    <row r="382" spans="1:22">
      <c r="A382" s="57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</row>
    <row r="383" spans="1:22">
      <c r="A383" s="57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</row>
    <row r="384" spans="1:22">
      <c r="A384" s="57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</row>
    <row r="385" spans="1:22">
      <c r="A385" s="57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</row>
    <row r="386" spans="1:22">
      <c r="A386" s="57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</row>
    <row r="387" spans="1:22">
      <c r="A387" s="57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</row>
    <row r="388" spans="1:22">
      <c r="A388" s="57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</row>
    <row r="389" spans="1:22">
      <c r="A389" s="57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</row>
    <row r="390" spans="1:22">
      <c r="A390" s="57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</row>
    <row r="391" spans="1:22">
      <c r="A391" s="57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</row>
    <row r="392" spans="1:22">
      <c r="A392" s="57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</row>
    <row r="393" spans="1:22">
      <c r="A393" s="57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</row>
    <row r="394" spans="1:22">
      <c r="A394" s="57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</row>
    <row r="395" spans="1:22">
      <c r="A395" s="57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</row>
    <row r="396" spans="1:22">
      <c r="A396" s="57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</row>
    <row r="397" spans="1:22">
      <c r="A397" s="57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</row>
    <row r="398" spans="1:22">
      <c r="A398" s="57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</row>
    <row r="399" spans="1:22">
      <c r="A399" s="57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</row>
    <row r="400" spans="1:22">
      <c r="A400" s="57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</row>
    <row r="401" spans="1:22">
      <c r="A401" s="57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</row>
    <row r="402" spans="1:22">
      <c r="A402" s="57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</row>
    <row r="403" spans="1:22">
      <c r="A403" s="57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</row>
    <row r="404" spans="1:22">
      <c r="A404" s="57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</row>
    <row r="405" spans="1:22">
      <c r="A405" s="57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</row>
    <row r="406" spans="1:22">
      <c r="A406" s="57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</row>
    <row r="407" spans="1:22">
      <c r="A407" s="57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</row>
    <row r="408" spans="1:22">
      <c r="A408" s="57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</row>
    <row r="409" spans="1:22">
      <c r="A409" s="57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</row>
    <row r="410" spans="1:22">
      <c r="A410" s="57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</row>
    <row r="411" spans="1:22">
      <c r="A411" s="57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</row>
    <row r="412" spans="1:22">
      <c r="A412" s="57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</row>
    <row r="413" spans="1:22">
      <c r="A413" s="57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</row>
    <row r="414" spans="1:22">
      <c r="A414" s="57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</row>
    <row r="415" spans="1:22">
      <c r="A415" s="57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</row>
    <row r="416" spans="1:22">
      <c r="A416" s="57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</row>
    <row r="417" spans="1:22">
      <c r="A417" s="57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</row>
    <row r="418" spans="1:22">
      <c r="A418" s="57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</row>
    <row r="419" spans="1:22">
      <c r="A419" s="57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</row>
    <row r="420" spans="1:22">
      <c r="A420" s="57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</row>
    <row r="421" spans="1:22">
      <c r="A421" s="57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</row>
    <row r="422" spans="1:22">
      <c r="A422" s="57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</row>
    <row r="423" spans="1:22">
      <c r="A423" s="57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</row>
    <row r="424" spans="1:22">
      <c r="A424" s="57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</row>
    <row r="425" spans="1:22">
      <c r="A425" s="57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</row>
    <row r="426" spans="1:22">
      <c r="A426" s="57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</row>
    <row r="427" spans="1:22">
      <c r="A427" s="57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</row>
    <row r="428" spans="1:22">
      <c r="A428" s="57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</row>
    <row r="429" spans="1:22">
      <c r="A429" s="57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</row>
    <row r="430" spans="1:22">
      <c r="A430" s="57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</row>
    <row r="431" spans="1:22">
      <c r="A431" s="57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</row>
    <row r="432" spans="1:22">
      <c r="A432" s="57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</row>
    <row r="433" spans="1:22">
      <c r="A433" s="57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</row>
    <row r="434" spans="1:22">
      <c r="A434" s="57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</row>
    <row r="435" spans="1:22">
      <c r="A435" s="57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</row>
    <row r="436" spans="1:22">
      <c r="A436" s="57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</row>
    <row r="437" spans="1:22">
      <c r="A437" s="57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</row>
    <row r="438" spans="1:22">
      <c r="A438" s="57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</row>
    <row r="439" spans="1:22">
      <c r="A439" s="57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</row>
    <row r="440" spans="1:22">
      <c r="A440" s="57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</row>
    <row r="441" spans="1:22">
      <c r="A441" s="57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</row>
    <row r="442" spans="1:22">
      <c r="A442" s="57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</row>
    <row r="443" spans="1:22">
      <c r="A443" s="57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</row>
    <row r="444" spans="1:22">
      <c r="A444" s="57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</row>
    <row r="445" spans="1:22">
      <c r="A445" s="57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</row>
    <row r="446" spans="1:22">
      <c r="A446" s="57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</row>
    <row r="447" spans="1:22">
      <c r="A447" s="57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</row>
    <row r="448" spans="1:22">
      <c r="A448" s="57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</row>
    <row r="449" spans="1:22">
      <c r="A449" s="57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</row>
    <row r="450" spans="1:22">
      <c r="A450" s="57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</row>
    <row r="451" spans="1:22">
      <c r="A451" s="57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</row>
    <row r="452" spans="1:22">
      <c r="A452" s="57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</row>
    <row r="453" spans="1:22">
      <c r="A453" s="57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</row>
    <row r="454" spans="1:22">
      <c r="A454" s="57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</row>
    <row r="455" spans="1:22">
      <c r="A455" s="57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</row>
    <row r="456" spans="1:22">
      <c r="A456" s="57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</row>
    <row r="457" spans="1:22">
      <c r="A457" s="57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</row>
    <row r="458" spans="1:22">
      <c r="A458" s="57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</row>
    <row r="459" spans="1:22">
      <c r="A459" s="57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</row>
    <row r="460" spans="1:22">
      <c r="A460" s="57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</row>
    <row r="461" spans="1:22">
      <c r="A461" s="57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</row>
    <row r="462" spans="1:22">
      <c r="A462" s="57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</row>
    <row r="463" spans="1:22">
      <c r="A463" s="57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</row>
    <row r="464" spans="1:22">
      <c r="A464" s="57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</row>
    <row r="465" spans="1:22">
      <c r="A465" s="57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</row>
    <row r="466" spans="1:22">
      <c r="A466" s="57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</row>
    <row r="467" spans="1:22">
      <c r="A467" s="57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</row>
    <row r="468" spans="1:22">
      <c r="A468" s="57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</row>
    <row r="469" spans="1:22">
      <c r="A469" s="57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</row>
    <row r="470" spans="1:22">
      <c r="A470" s="57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</row>
    <row r="471" spans="1:22">
      <c r="A471" s="57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</row>
    <row r="472" spans="1:22">
      <c r="A472" s="57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</row>
    <row r="473" spans="1:22">
      <c r="A473" s="57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</row>
    <row r="474" spans="1:22">
      <c r="A474" s="57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</row>
    <row r="475" spans="1:22">
      <c r="A475" s="57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</row>
    <row r="476" spans="1:22">
      <c r="A476" s="57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</row>
    <row r="477" spans="1:22">
      <c r="A477" s="57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</row>
    <row r="478" spans="1:22">
      <c r="A478" s="57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</row>
    <row r="479" spans="1:22">
      <c r="A479" s="57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</row>
    <row r="480" spans="1:22">
      <c r="A480" s="57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</row>
    <row r="481" spans="1:22">
      <c r="A481" s="57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</row>
    <row r="482" spans="1:22">
      <c r="A482" s="57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</row>
    <row r="483" spans="1:22">
      <c r="A483" s="57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</row>
    <row r="484" spans="1:22">
      <c r="A484" s="57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</row>
    <row r="485" spans="1:22">
      <c r="A485" s="57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</row>
    <row r="486" spans="1:22">
      <c r="A486" s="57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</row>
    <row r="487" spans="1:22">
      <c r="A487" s="57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</row>
    <row r="488" spans="1:22">
      <c r="A488" s="57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</row>
    <row r="489" spans="1:22">
      <c r="A489" s="57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</row>
    <row r="490" spans="1:22">
      <c r="A490" s="57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</row>
    <row r="491" spans="1:22">
      <c r="A491" s="57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</row>
    <row r="492" spans="1:22">
      <c r="A492" s="57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</row>
    <row r="493" spans="1:22">
      <c r="A493" s="57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</row>
    <row r="494" spans="1:22">
      <c r="A494" s="57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</row>
    <row r="495" spans="1:22">
      <c r="A495" s="57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</row>
    <row r="496" spans="1:22">
      <c r="A496" s="57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</row>
    <row r="497" spans="1:22">
      <c r="A497" s="57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</row>
    <row r="498" spans="1:22">
      <c r="A498" s="57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</row>
    <row r="499" spans="1:22">
      <c r="A499" s="57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</row>
    <row r="500" spans="1:22">
      <c r="A500" s="57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</row>
    <row r="501" spans="1:22">
      <c r="A501" s="57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</row>
    <row r="502" spans="1:22">
      <c r="A502" s="57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</row>
    <row r="503" spans="1:22">
      <c r="A503" s="57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</row>
    <row r="504" spans="1:22">
      <c r="A504" s="57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</row>
    <row r="505" spans="1:22">
      <c r="A505" s="57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</row>
    <row r="506" spans="1:22">
      <c r="A506" s="57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</row>
    <row r="507" spans="1:22">
      <c r="A507" s="57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</row>
    <row r="508" spans="1:22">
      <c r="A508" s="57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</row>
    <row r="509" spans="1:22">
      <c r="A509" s="57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</row>
    <row r="510" spans="1:22">
      <c r="A510" s="57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</row>
    <row r="511" spans="1:22">
      <c r="A511" s="57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</row>
    <row r="512" spans="1:22">
      <c r="A512" s="57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</row>
    <row r="513" spans="1:22">
      <c r="A513" s="57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</row>
    <row r="514" spans="1:22">
      <c r="A514" s="57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</row>
    <row r="515" spans="1:22">
      <c r="A515" s="57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</row>
    <row r="516" spans="1:22">
      <c r="A516" s="57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</row>
    <row r="517" spans="1:22">
      <c r="A517" s="57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</row>
    <row r="518" spans="1:22">
      <c r="A518" s="57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</row>
    <row r="519" spans="1:22">
      <c r="A519" s="57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</row>
    <row r="520" spans="1:22">
      <c r="A520" s="57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</row>
    <row r="521" spans="1:22">
      <c r="A521" s="57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</row>
    <row r="522" spans="1:22">
      <c r="A522" s="57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</row>
    <row r="523" spans="1:22">
      <c r="A523" s="57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</row>
    <row r="524" spans="1:22">
      <c r="A524" s="57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</row>
    <row r="525" spans="1:22">
      <c r="A525" s="57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</row>
    <row r="526" spans="1:22">
      <c r="A526" s="57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</row>
    <row r="527" spans="1:22">
      <c r="A527" s="57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</row>
    <row r="528" spans="1:22">
      <c r="A528" s="57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</row>
    <row r="529" spans="1:22">
      <c r="A529" s="57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</row>
    <row r="530" spans="1:22">
      <c r="A530" s="57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</row>
    <row r="531" spans="1:22">
      <c r="A531" s="57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</row>
    <row r="532" spans="1:22">
      <c r="A532" s="57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</row>
    <row r="533" spans="1:22">
      <c r="A533" s="57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</row>
    <row r="534" spans="1:22">
      <c r="A534" s="57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</row>
    <row r="535" spans="1:22">
      <c r="A535" s="57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</row>
    <row r="536" spans="1:22">
      <c r="A536" s="57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</row>
    <row r="537" spans="1:22">
      <c r="A537" s="57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</row>
    <row r="538" spans="1:22">
      <c r="A538" s="57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</row>
    <row r="539" spans="1:22">
      <c r="A539" s="57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</row>
    <row r="540" spans="1:22">
      <c r="A540" s="57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</row>
    <row r="541" spans="1:22">
      <c r="A541" s="57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</row>
    <row r="542" spans="1:22">
      <c r="A542" s="57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</row>
    <row r="543" spans="1:22">
      <c r="A543" s="57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</row>
    <row r="544" spans="1:22">
      <c r="A544" s="57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</row>
    <row r="545" spans="1:22">
      <c r="A545" s="57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</row>
    <row r="546" spans="1:22">
      <c r="A546" s="57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</row>
    <row r="547" spans="1:22">
      <c r="A547" s="57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</row>
    <row r="548" spans="1:22">
      <c r="A548" s="57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</row>
    <row r="549" spans="1:22">
      <c r="A549" s="57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</row>
    <row r="550" spans="1:22">
      <c r="A550" s="57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</row>
    <row r="551" spans="1:22">
      <c r="A551" s="57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</row>
    <row r="552" spans="1:22">
      <c r="A552" s="57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</row>
    <row r="553" spans="1:22">
      <c r="A553" s="57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</row>
    <row r="554" spans="1:22">
      <c r="A554" s="57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</row>
    <row r="555" spans="1:22">
      <c r="A555" s="57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</row>
    <row r="556" spans="1:22">
      <c r="A556" s="57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</row>
    <row r="557" spans="1:22">
      <c r="A557" s="57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</row>
    <row r="558" spans="1:22">
      <c r="A558" s="57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</row>
    <row r="559" spans="1:22">
      <c r="A559" s="57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</row>
    <row r="560" spans="1:22">
      <c r="A560" s="57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</row>
    <row r="561" spans="1:22">
      <c r="A561" s="57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</row>
    <row r="562" spans="1:22">
      <c r="A562" s="57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</row>
    <row r="563" spans="1:22">
      <c r="A563" s="57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</row>
    <row r="564" spans="1:22">
      <c r="A564" s="57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</row>
    <row r="565" spans="1:22">
      <c r="A565" s="57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</row>
    <row r="566" spans="1:22">
      <c r="A566" s="57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</row>
    <row r="567" spans="1:22">
      <c r="A567" s="57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</row>
    <row r="568" spans="1:22">
      <c r="A568" s="57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</row>
    <row r="569" spans="1:22">
      <c r="A569" s="57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</row>
    <row r="570" spans="1:22">
      <c r="A570" s="57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</row>
    <row r="571" spans="1:22">
      <c r="A571" s="57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</row>
    <row r="572" spans="1:22">
      <c r="A572" s="57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</row>
    <row r="573" spans="1:22">
      <c r="A573" s="57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</row>
    <row r="574" spans="1:22">
      <c r="A574" s="57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</row>
    <row r="575" spans="1:22">
      <c r="A575" s="57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</row>
    <row r="576" spans="1:22">
      <c r="A576" s="57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</row>
    <row r="577" spans="1:22">
      <c r="A577" s="57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</row>
    <row r="578" spans="1:22">
      <c r="A578" s="57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</row>
    <row r="579" spans="1:22">
      <c r="A579" s="57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</row>
    <row r="580" spans="1:22">
      <c r="A580" s="57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</row>
    <row r="581" spans="1:22">
      <c r="A581" s="57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</row>
    <row r="582" spans="1:22">
      <c r="A582" s="57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</row>
    <row r="583" spans="1:22">
      <c r="A583" s="57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</row>
    <row r="584" spans="1:22">
      <c r="A584" s="57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</row>
    <row r="585" spans="1:22">
      <c r="A585" s="57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</row>
    <row r="586" spans="1:22">
      <c r="A586" s="57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</row>
    <row r="587" spans="1:22">
      <c r="A587" s="57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</row>
    <row r="588" spans="1:22">
      <c r="A588" s="57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</row>
    <row r="589" spans="1:22">
      <c r="A589" s="57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</row>
    <row r="590" spans="1:22">
      <c r="A590" s="57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</row>
    <row r="591" spans="1:22">
      <c r="A591" s="57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</row>
    <row r="592" spans="1:22">
      <c r="A592" s="57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</row>
    <row r="593" spans="1:22">
      <c r="A593" s="57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</row>
    <row r="594" spans="1:22">
      <c r="A594" s="57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</row>
    <row r="595" spans="1:22">
      <c r="A595" s="57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</row>
    <row r="596" spans="1:22">
      <c r="A596" s="57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</row>
    <row r="597" spans="1:22">
      <c r="A597" s="57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</row>
    <row r="598" spans="1:22">
      <c r="A598" s="57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</row>
    <row r="599" spans="1:22">
      <c r="A599" s="57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</row>
    <row r="600" spans="1:22">
      <c r="A600" s="57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</row>
    <row r="601" spans="1:22">
      <c r="A601" s="57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</row>
    <row r="602" spans="1:22">
      <c r="A602" s="57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</row>
    <row r="603" spans="1:22">
      <c r="A603" s="57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</row>
    <row r="604" spans="1:22">
      <c r="A604" s="57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</row>
    <row r="605" spans="1:22">
      <c r="A605" s="57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</row>
    <row r="606" spans="1:22">
      <c r="A606" s="57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</row>
    <row r="607" spans="1:22">
      <c r="A607" s="57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</row>
    <row r="608" spans="1:22">
      <c r="A608" s="57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</row>
    <row r="609" spans="1:22">
      <c r="A609" s="57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</row>
    <row r="610" spans="1:22">
      <c r="A610" s="57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</row>
    <row r="611" spans="1:22">
      <c r="A611" s="57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</row>
    <row r="612" spans="1:22">
      <c r="A612" s="57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</row>
    <row r="613" spans="1:22">
      <c r="A613" s="57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</row>
    <row r="614" spans="1:22">
      <c r="A614" s="57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</row>
    <row r="615" spans="1:22">
      <c r="A615" s="57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</row>
    <row r="616" spans="1:22">
      <c r="A616" s="57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</row>
    <row r="617" spans="1:22">
      <c r="A617" s="57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</row>
    <row r="618" spans="1:22">
      <c r="A618" s="57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</row>
    <row r="619" spans="1:22">
      <c r="A619" s="57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</row>
    <row r="620" spans="1:22">
      <c r="A620" s="57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</row>
    <row r="621" spans="1:22">
      <c r="A621" s="57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</row>
    <row r="622" spans="1:22">
      <c r="A622" s="57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</row>
    <row r="623" spans="1:22">
      <c r="A623" s="57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</row>
    <row r="624" spans="1:22">
      <c r="A624" s="57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</row>
    <row r="625" spans="1:22">
      <c r="A625" s="57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</row>
    <row r="626" spans="1:22">
      <c r="A626" s="57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</row>
    <row r="627" spans="1:22">
      <c r="A627" s="57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</row>
    <row r="628" spans="1:22">
      <c r="A628" s="57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</row>
    <row r="629" spans="1:22">
      <c r="A629" s="57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</row>
    <row r="630" spans="1:22">
      <c r="A630" s="57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</row>
    <row r="631" spans="1:22">
      <c r="A631" s="57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</row>
    <row r="632" spans="1:22">
      <c r="A632" s="57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</row>
    <row r="633" spans="1:22">
      <c r="A633" s="57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</row>
    <row r="634" spans="1:22">
      <c r="A634" s="57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</row>
    <row r="635" spans="1:22">
      <c r="A635" s="57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</row>
    <row r="636" spans="1:22">
      <c r="A636" s="57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</row>
    <row r="637" spans="1:22">
      <c r="A637" s="57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</row>
    <row r="638" spans="1:22">
      <c r="A638" s="57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</row>
    <row r="639" spans="1:22">
      <c r="A639" s="57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</row>
    <row r="640" spans="1:22">
      <c r="A640" s="57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</row>
    <row r="641" spans="1:22">
      <c r="A641" s="57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</row>
    <row r="642" spans="1:22">
      <c r="A642" s="57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</row>
    <row r="643" spans="1:22">
      <c r="A643" s="57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</row>
    <row r="644" spans="1:22">
      <c r="A644" s="57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</row>
    <row r="645" spans="1:22">
      <c r="A645" s="57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</row>
    <row r="646" spans="1:22">
      <c r="A646" s="57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</row>
    <row r="647" spans="1:22">
      <c r="A647" s="57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</row>
    <row r="648" spans="1:22">
      <c r="A648" s="57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</row>
    <row r="649" spans="1:22">
      <c r="A649" s="57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</row>
    <row r="650" spans="1:22">
      <c r="A650" s="57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</row>
    <row r="651" spans="1:22">
      <c r="A651" s="57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</row>
    <row r="652" spans="1:22">
      <c r="A652" s="57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</row>
    <row r="653" spans="1:22">
      <c r="A653" s="57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</row>
    <row r="654" spans="1:22">
      <c r="A654" s="57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</row>
    <row r="655" spans="1:22">
      <c r="A655" s="57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</row>
    <row r="656" spans="1:22">
      <c r="A656" s="57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</row>
    <row r="657" spans="1:22">
      <c r="A657" s="57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</row>
    <row r="658" spans="1:22">
      <c r="A658" s="57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</row>
    <row r="659" spans="1:22">
      <c r="A659" s="57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</row>
    <row r="660" spans="1:22">
      <c r="A660" s="57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</row>
    <row r="661" spans="1:22">
      <c r="A661" s="57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</row>
    <row r="662" spans="1:22">
      <c r="A662" s="57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</row>
    <row r="663" spans="1:22">
      <c r="A663" s="57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</row>
    <row r="664" spans="1:22">
      <c r="A664" s="57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</row>
    <row r="665" spans="1:22">
      <c r="A665" s="57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</row>
    <row r="666" spans="1:22">
      <c r="A666" s="57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</row>
    <row r="667" spans="1:22">
      <c r="A667" s="57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</row>
    <row r="668" spans="1:22">
      <c r="A668" s="57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</row>
    <row r="669" spans="1:22">
      <c r="A669" s="57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</row>
    <row r="670" spans="1:22">
      <c r="A670" s="57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</row>
    <row r="671" spans="1:22">
      <c r="A671" s="57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</row>
    <row r="672" spans="1:22">
      <c r="A672" s="57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</row>
    <row r="673" spans="1:22">
      <c r="A673" s="57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</row>
    <row r="674" spans="1:22">
      <c r="A674" s="57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</row>
    <row r="675" spans="1:22">
      <c r="A675" s="57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</row>
    <row r="676" spans="1:22">
      <c r="A676" s="57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</row>
    <row r="677" spans="1:22">
      <c r="A677" s="57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</row>
    <row r="678" spans="1:22">
      <c r="A678" s="57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</row>
    <row r="679" spans="1:22">
      <c r="A679" s="57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</row>
    <row r="680" spans="1:22">
      <c r="A680" s="57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</row>
    <row r="681" spans="1:22">
      <c r="A681" s="57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</row>
    <row r="682" spans="1:22">
      <c r="A682" s="57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</row>
    <row r="683" spans="1:22">
      <c r="A683" s="57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</row>
    <row r="684" spans="1:22">
      <c r="A684" s="57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</row>
    <row r="685" spans="1:22">
      <c r="A685" s="57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</row>
    <row r="686" spans="1:22">
      <c r="A686" s="57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</row>
    <row r="687" spans="1:22">
      <c r="A687" s="57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</row>
    <row r="688" spans="1:22">
      <c r="A688" s="57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</row>
    <row r="689" spans="1:22">
      <c r="A689" s="57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</row>
    <row r="690" spans="1:22">
      <c r="A690" s="57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</row>
    <row r="691" spans="1:22">
      <c r="A691" s="57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</row>
    <row r="692" spans="1:22">
      <c r="A692" s="57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</row>
    <row r="693" spans="1:22">
      <c r="A693" s="57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</row>
    <row r="694" spans="1:22">
      <c r="A694" s="57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</row>
    <row r="695" spans="1:22">
      <c r="A695" s="57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</row>
    <row r="696" spans="1:22">
      <c r="A696" s="57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</row>
    <row r="697" spans="1:22">
      <c r="A697" s="57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</row>
    <row r="698" spans="1:22">
      <c r="A698" s="57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</row>
    <row r="699" spans="1:22">
      <c r="A699" s="57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</row>
    <row r="700" spans="1:22">
      <c r="A700" s="57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</row>
    <row r="701" spans="1:22">
      <c r="A701" s="57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</row>
    <row r="702" spans="1:22">
      <c r="A702" s="57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</row>
    <row r="703" spans="1:22">
      <c r="A703" s="57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</row>
    <row r="704" spans="1:22">
      <c r="A704" s="57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</row>
    <row r="705" spans="1:22">
      <c r="A705" s="57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</row>
    <row r="706" spans="1:22">
      <c r="A706" s="57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</row>
    <row r="707" spans="1:22">
      <c r="A707" s="57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</row>
    <row r="708" spans="1:22">
      <c r="A708" s="57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</row>
    <row r="709" spans="1:22">
      <c r="A709" s="57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</row>
    <row r="710" spans="1:22">
      <c r="A710" s="57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</row>
    <row r="711" spans="1:22">
      <c r="A711" s="57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</row>
    <row r="712" spans="1:22">
      <c r="A712" s="57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</row>
    <row r="713" spans="1:22">
      <c r="A713" s="57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</row>
    <row r="714" spans="1:22">
      <c r="A714" s="57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</row>
    <row r="715" spans="1:22">
      <c r="A715" s="57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</row>
    <row r="716" spans="1:22">
      <c r="A716" s="57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</row>
    <row r="717" spans="1:22">
      <c r="A717" s="57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</row>
    <row r="718" spans="1:22">
      <c r="A718" s="57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</row>
    <row r="719" spans="1:22">
      <c r="A719" s="57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</row>
    <row r="720" spans="1:22">
      <c r="A720" s="57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</row>
    <row r="721" spans="1:22">
      <c r="A721" s="57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</row>
    <row r="722" spans="1:22">
      <c r="A722" s="57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</row>
    <row r="723" spans="1:22">
      <c r="A723" s="57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</row>
    <row r="724" spans="1:22">
      <c r="A724" s="57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</row>
    <row r="725" spans="1:22">
      <c r="A725" s="57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</row>
    <row r="726" spans="1:22">
      <c r="A726" s="57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</row>
    <row r="727" spans="1:22">
      <c r="A727" s="57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</row>
    <row r="728" spans="1:22">
      <c r="A728" s="57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</row>
    <row r="729" spans="1:22">
      <c r="A729" s="57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</row>
    <row r="730" spans="1:22">
      <c r="A730" s="57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</row>
    <row r="731" spans="1:22">
      <c r="A731" s="57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</row>
    <row r="732" spans="1:22">
      <c r="A732" s="57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</row>
    <row r="733" spans="1:22">
      <c r="A733" s="57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</row>
    <row r="734" spans="1:22">
      <c r="A734" s="57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</row>
    <row r="735" spans="1:22">
      <c r="A735" s="57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</row>
    <row r="736" spans="1:22">
      <c r="A736" s="57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</row>
    <row r="737" spans="1:22">
      <c r="A737" s="57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</row>
    <row r="738" spans="1:22">
      <c r="A738" s="57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</row>
    <row r="739" spans="1:22">
      <c r="A739" s="57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</row>
    <row r="740" spans="1:22">
      <c r="A740" s="57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</row>
    <row r="741" spans="1:22">
      <c r="A741" s="57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</row>
    <row r="742" spans="1:22">
      <c r="A742" s="57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</row>
    <row r="743" spans="1:22">
      <c r="A743" s="57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</row>
    <row r="744" spans="1:22">
      <c r="A744" s="57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</row>
    <row r="745" spans="1:22">
      <c r="A745" s="57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</row>
    <row r="746" spans="1:22">
      <c r="A746" s="57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</row>
    <row r="747" spans="1:22">
      <c r="A747" s="57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</row>
    <row r="748" spans="1:22">
      <c r="A748" s="57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</row>
    <row r="749" spans="1:22">
      <c r="A749" s="57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</row>
    <row r="750" spans="1:22">
      <c r="A750" s="57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</row>
    <row r="751" spans="1:22">
      <c r="A751" s="57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</row>
    <row r="752" spans="1:22">
      <c r="A752" s="57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</row>
    <row r="753" spans="1:22">
      <c r="A753" s="57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</row>
    <row r="754" spans="1:22">
      <c r="A754" s="57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</row>
    <row r="755" spans="1:22">
      <c r="A755" s="57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</row>
    <row r="756" spans="1:22">
      <c r="A756" s="57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</row>
    <row r="757" spans="1:22">
      <c r="A757" s="57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</row>
    <row r="758" spans="1:22">
      <c r="A758" s="57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</row>
    <row r="759" spans="1:22">
      <c r="A759" s="57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</row>
    <row r="760" spans="1:22">
      <c r="A760" s="57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</row>
    <row r="761" spans="1:22">
      <c r="A761" s="57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</row>
    <row r="762" spans="1:22">
      <c r="A762" s="57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</row>
    <row r="763" spans="1:22">
      <c r="A763" s="57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</row>
    <row r="764" spans="1:22">
      <c r="A764" s="57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</row>
    <row r="765" spans="1:22">
      <c r="A765" s="57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</row>
    <row r="766" spans="1:22">
      <c r="A766" s="57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</row>
    <row r="767" spans="1:22">
      <c r="A767" s="57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</row>
    <row r="768" spans="1:22">
      <c r="A768" s="57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</row>
    <row r="769" spans="1:22">
      <c r="A769" s="57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</row>
    <row r="770" spans="1:22">
      <c r="A770" s="57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</row>
    <row r="771" spans="1:22">
      <c r="A771" s="57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</row>
    <row r="772" spans="1:22">
      <c r="A772" s="57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</row>
    <row r="773" spans="1:22">
      <c r="A773" s="57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</row>
    <row r="774" spans="1:22">
      <c r="A774" s="57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</row>
    <row r="775" spans="1:22">
      <c r="A775" s="57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</row>
    <row r="776" spans="1:22">
      <c r="A776" s="57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</row>
    <row r="777" spans="1:22">
      <c r="A777" s="57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</row>
    <row r="778" spans="1:22">
      <c r="A778" s="57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</row>
    <row r="779" spans="1:22">
      <c r="A779" s="57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</row>
    <row r="780" spans="1:22">
      <c r="A780" s="57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</row>
    <row r="781" spans="1:22">
      <c r="A781" s="57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</row>
    <row r="782" spans="1:22">
      <c r="A782" s="57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</row>
    <row r="783" spans="1:22">
      <c r="A783" s="57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</row>
    <row r="784" spans="1:22">
      <c r="A784" s="57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</row>
    <row r="785" spans="1:22">
      <c r="A785" s="57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</row>
    <row r="786" spans="1:22">
      <c r="A786" s="57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</row>
    <row r="787" spans="1:22">
      <c r="A787" s="57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</row>
    <row r="788" spans="1:22">
      <c r="A788" s="57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</row>
    <row r="789" spans="1:22">
      <c r="A789" s="57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</row>
    <row r="790" spans="1:22">
      <c r="A790" s="57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</row>
    <row r="791" spans="1:22">
      <c r="A791" s="57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</row>
    <row r="792" spans="1:22">
      <c r="A792" s="57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</row>
    <row r="793" spans="1:22">
      <c r="A793" s="57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</row>
    <row r="794" spans="1:22">
      <c r="A794" s="57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</row>
    <row r="795" spans="1:22">
      <c r="A795" s="57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</row>
    <row r="796" spans="1:22">
      <c r="A796" s="57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</row>
    <row r="797" spans="1:22">
      <c r="A797" s="57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</row>
    <row r="798" spans="1:22">
      <c r="A798" s="57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</row>
    <row r="799" spans="1:22">
      <c r="A799" s="57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</row>
    <row r="800" spans="1:22">
      <c r="A800" s="57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</row>
    <row r="801" spans="1:22">
      <c r="A801" s="57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</row>
    <row r="802" spans="1:22">
      <c r="A802" s="57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</row>
    <row r="803" spans="1:22">
      <c r="A803" s="57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</row>
    <row r="804" spans="1:22">
      <c r="A804" s="57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</row>
    <row r="805" spans="1:22">
      <c r="A805" s="57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</row>
    <row r="806" spans="1:22">
      <c r="A806" s="57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</row>
    <row r="807" spans="1:22">
      <c r="A807" s="57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</row>
    <row r="808" spans="1:22">
      <c r="A808" s="57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</row>
    <row r="809" spans="1:22">
      <c r="A809" s="57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</row>
    <row r="810" spans="1:22">
      <c r="A810" s="57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</row>
    <row r="811" spans="1:22">
      <c r="A811" s="57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</row>
    <row r="812" spans="1:22">
      <c r="A812" s="57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</row>
    <row r="813" spans="1:22">
      <c r="A813" s="57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</row>
    <row r="814" spans="1:22">
      <c r="A814" s="57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</row>
    <row r="815" spans="1:22">
      <c r="A815" s="57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</row>
    <row r="816" spans="1:22">
      <c r="A816" s="57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</row>
    <row r="817" spans="1:22">
      <c r="A817" s="57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</row>
    <row r="818" spans="1:22">
      <c r="A818" s="57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</row>
    <row r="819" spans="1:22">
      <c r="A819" s="57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</row>
    <row r="820" spans="1:22">
      <c r="A820" s="57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</row>
    <row r="821" spans="1:22">
      <c r="A821" s="57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</row>
    <row r="822" spans="1:22">
      <c r="A822" s="57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</row>
    <row r="823" spans="1:22">
      <c r="A823" s="57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</row>
    <row r="824" spans="1:22">
      <c r="A824" s="57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</row>
    <row r="825" spans="1:22">
      <c r="A825" s="57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</row>
    <row r="826" spans="1:22">
      <c r="A826" s="57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</row>
    <row r="827" spans="1:22">
      <c r="A827" s="57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</row>
    <row r="828" spans="1:22">
      <c r="A828" s="57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</row>
    <row r="829" spans="1:22">
      <c r="A829" s="57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</row>
    <row r="830" spans="1:22">
      <c r="A830" s="57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</row>
    <row r="831" spans="1:22">
      <c r="A831" s="57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</row>
    <row r="832" spans="1:22">
      <c r="A832" s="57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</row>
    <row r="833" spans="1:22">
      <c r="A833" s="57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</row>
    <row r="834" spans="1:22">
      <c r="A834" s="57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</row>
    <row r="835" spans="1:22">
      <c r="A835" s="57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</row>
    <row r="836" spans="1:22">
      <c r="A836" s="57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</row>
    <row r="837" spans="1:22">
      <c r="A837" s="57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</row>
    <row r="838" spans="1:22">
      <c r="A838" s="57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</row>
    <row r="839" spans="1:22">
      <c r="A839" s="57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</row>
    <row r="840" spans="1:22">
      <c r="A840" s="57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</row>
    <row r="841" spans="1:22">
      <c r="A841" s="57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</row>
    <row r="842" spans="1:22">
      <c r="A842" s="57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</row>
    <row r="843" spans="1:22">
      <c r="A843" s="57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</row>
    <row r="844" spans="1:22">
      <c r="A844" s="57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</row>
    <row r="845" spans="1:22">
      <c r="A845" s="57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</row>
    <row r="846" spans="1:22">
      <c r="A846" s="57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</row>
    <row r="847" spans="1:22">
      <c r="A847" s="57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</row>
    <row r="848" spans="1:22">
      <c r="A848" s="57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</row>
    <row r="849" spans="1:22">
      <c r="A849" s="57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</row>
    <row r="850" spans="1:22">
      <c r="A850" s="57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</row>
    <row r="851" spans="1:22">
      <c r="A851" s="57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</row>
    <row r="852" spans="1:22">
      <c r="A852" s="57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</row>
    <row r="853" spans="1:22">
      <c r="A853" s="57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</row>
    <row r="854" spans="1:22">
      <c r="A854" s="57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</row>
    <row r="855" spans="1:22">
      <c r="A855" s="57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</row>
    <row r="856" spans="1:22">
      <c r="A856" s="57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</row>
    <row r="857" spans="1:22">
      <c r="A857" s="57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</row>
    <row r="858" spans="1:22">
      <c r="A858" s="57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</row>
    <row r="859" spans="1:22">
      <c r="A859" s="57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</row>
    <row r="860" spans="1:22">
      <c r="A860" s="57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</row>
    <row r="861" spans="1:22">
      <c r="A861" s="57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</row>
    <row r="862" spans="1:22">
      <c r="A862" s="57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</row>
    <row r="863" spans="1:22">
      <c r="A863" s="57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</row>
    <row r="864" spans="1:22">
      <c r="A864" s="57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</row>
    <row r="865" spans="1:22">
      <c r="A865" s="57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</row>
    <row r="866" spans="1:22">
      <c r="A866" s="57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</row>
    <row r="867" spans="1:22">
      <c r="A867" s="57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</row>
    <row r="868" spans="1:22">
      <c r="A868" s="57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</row>
    <row r="869" spans="1:22">
      <c r="A869" s="57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</row>
    <row r="870" spans="1:22">
      <c r="A870" s="57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</row>
    <row r="871" spans="1:22">
      <c r="A871" s="57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</row>
    <row r="872" spans="1:22">
      <c r="A872" s="57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</row>
    <row r="873" spans="1:22">
      <c r="A873" s="57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</row>
    <row r="874" spans="1:22">
      <c r="A874" s="57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</row>
    <row r="875" spans="1:22">
      <c r="A875" s="57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</row>
    <row r="876" spans="1:22">
      <c r="A876" s="57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</row>
    <row r="877" spans="1:22">
      <c r="A877" s="57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</row>
    <row r="878" spans="1:22">
      <c r="A878" s="57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</row>
    <row r="879" spans="1:22">
      <c r="A879" s="57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</row>
    <row r="880" spans="1:22">
      <c r="A880" s="57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</row>
    <row r="881" spans="1:22">
      <c r="A881" s="57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</row>
    <row r="882" spans="1:22">
      <c r="A882" s="57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</row>
    <row r="883" spans="1:22">
      <c r="A883" s="57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</row>
    <row r="884" spans="1:22">
      <c r="A884" s="57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</row>
    <row r="885" spans="1:22">
      <c r="A885" s="57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</row>
    <row r="886" spans="1:22">
      <c r="A886" s="57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</row>
    <row r="887" spans="1:22">
      <c r="A887" s="57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</row>
    <row r="888" spans="1:22">
      <c r="A888" s="57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</row>
    <row r="889" spans="1:22">
      <c r="A889" s="57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</row>
    <row r="890" spans="1:22">
      <c r="A890" s="57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</row>
    <row r="891" spans="1:22">
      <c r="A891" s="57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</row>
    <row r="892" spans="1:22">
      <c r="A892" s="57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</row>
    <row r="893" spans="1:22">
      <c r="A893" s="57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</row>
    <row r="894" spans="1:22">
      <c r="A894" s="57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</row>
    <row r="895" spans="1:22">
      <c r="A895" s="57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</row>
    <row r="896" spans="1:22">
      <c r="A896" s="57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</row>
    <row r="897" spans="1:22">
      <c r="A897" s="57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</row>
    <row r="898" spans="1:22">
      <c r="A898" s="57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</row>
    <row r="899" spans="1:22">
      <c r="A899" s="57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</row>
    <row r="900" spans="1:22">
      <c r="A900" s="57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</row>
    <row r="901" spans="1:22">
      <c r="A901" s="57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</row>
    <row r="902" spans="1:22">
      <c r="A902" s="57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</row>
    <row r="903" spans="1:22">
      <c r="A903" s="57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</row>
    <row r="904" spans="1:22">
      <c r="A904" s="57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</row>
    <row r="905" spans="1:22">
      <c r="A905" s="57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</row>
    <row r="906" spans="1:22">
      <c r="A906" s="57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</row>
    <row r="907" spans="1:22">
      <c r="A907" s="57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</row>
    <row r="908" spans="1:22">
      <c r="A908" s="57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</row>
    <row r="909" spans="1:22">
      <c r="A909" s="57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</row>
    <row r="910" spans="1:22">
      <c r="A910" s="57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</row>
    <row r="911" spans="1:22">
      <c r="A911" s="57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</row>
    <row r="912" spans="1:22">
      <c r="A912" s="57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</row>
    <row r="913" spans="1:22">
      <c r="A913" s="57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</row>
    <row r="914" spans="1:22">
      <c r="A914" s="57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</row>
    <row r="915" spans="1:22">
      <c r="A915" s="57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</row>
    <row r="916" spans="1:22">
      <c r="A916" s="57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</row>
    <row r="917" spans="1:22">
      <c r="A917" s="57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</row>
    <row r="918" spans="1:22">
      <c r="A918" s="57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</row>
    <row r="919" spans="1:22">
      <c r="A919" s="57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</row>
    <row r="920" spans="1:22">
      <c r="A920" s="57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</row>
    <row r="921" spans="1:22">
      <c r="A921" s="57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</row>
    <row r="922" spans="1:22">
      <c r="A922" s="57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</row>
    <row r="923" spans="1:22">
      <c r="A923" s="57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</row>
    <row r="924" spans="1:22">
      <c r="A924" s="57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</row>
    <row r="925" spans="1:22">
      <c r="A925" s="57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</row>
    <row r="926" spans="1:22">
      <c r="A926" s="57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</row>
    <row r="927" spans="1:2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</row>
    <row r="928" spans="1:2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</row>
    <row r="929" spans="1:2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86E8"/>
    <outlinePr summaryBelow="0" summaryRight="0"/>
  </sheetPr>
  <dimension ref="A1:E46"/>
  <sheetViews>
    <sheetView workbookViewId="0">
      <selection activeCell="E2" sqref="E2"/>
    </sheetView>
  </sheetViews>
  <sheetFormatPr baseColWidth="10" defaultColWidth="14.42578125" defaultRowHeight="15" customHeight="1"/>
  <cols>
    <col min="3" max="3" width="20.42578125" customWidth="1"/>
    <col min="4" max="4" width="27.42578125" customWidth="1"/>
  </cols>
  <sheetData>
    <row r="1" spans="1:5" ht="15" customHeight="1">
      <c r="A1" s="72" t="s">
        <v>4415</v>
      </c>
      <c r="B1" s="72" t="s">
        <v>4416</v>
      </c>
      <c r="C1" s="72" t="s">
        <v>4417</v>
      </c>
      <c r="D1" s="72" t="s">
        <v>4418</v>
      </c>
      <c r="E1" s="73" t="s">
        <v>4419</v>
      </c>
    </row>
    <row r="2" spans="1:5" ht="15" customHeight="1">
      <c r="A2" s="46">
        <v>0</v>
      </c>
      <c r="B2" s="46">
        <v>0</v>
      </c>
      <c r="C2" s="74">
        <v>420.5</v>
      </c>
      <c r="D2" s="74"/>
      <c r="E2" s="57" t="str">
        <f>IF(AND(anzahlMitarbeiterGesamt&gt;=A2,anzahlMitarbeiterGesamt&lt;=B2),"x","")</f>
        <v>x</v>
      </c>
    </row>
    <row r="3" spans="1:5" ht="15" customHeight="1">
      <c r="A3" s="46">
        <v>1</v>
      </c>
      <c r="B3" s="46">
        <v>3</v>
      </c>
      <c r="C3" s="74">
        <v>542.29999999999995</v>
      </c>
      <c r="D3" s="74"/>
      <c r="E3" s="57" t="str">
        <f t="shared" ref="E3:E33" si="0">IF(AND(anzahlMitarbeiterGesamt&gt;=A3,anzahlMitarbeiterGesamt&lt;=B3),"x","")</f>
        <v/>
      </c>
    </row>
    <row r="4" spans="1:5" ht="15" customHeight="1">
      <c r="A4" s="46">
        <v>4</v>
      </c>
      <c r="B4" s="46">
        <v>6</v>
      </c>
      <c r="C4" s="74">
        <v>661.2</v>
      </c>
      <c r="D4" s="74"/>
      <c r="E4" s="57" t="str">
        <f t="shared" si="0"/>
        <v/>
      </c>
    </row>
    <row r="5" spans="1:5" ht="15" customHeight="1">
      <c r="A5" s="46">
        <v>7</v>
      </c>
      <c r="B5" s="46">
        <v>10</v>
      </c>
      <c r="C5" s="74">
        <v>783</v>
      </c>
      <c r="D5" s="74"/>
      <c r="E5" s="57" t="str">
        <f t="shared" si="0"/>
        <v/>
      </c>
    </row>
    <row r="6" spans="1:5" ht="15" customHeight="1">
      <c r="A6" s="46">
        <v>11</v>
      </c>
      <c r="B6" s="46">
        <v>15</v>
      </c>
      <c r="C6" s="74">
        <v>900.45</v>
      </c>
      <c r="D6" s="74"/>
      <c r="E6" s="57" t="str">
        <f t="shared" si="0"/>
        <v/>
      </c>
    </row>
    <row r="7" spans="1:5" ht="15" customHeight="1">
      <c r="A7" s="46">
        <v>16</v>
      </c>
      <c r="B7" s="46">
        <v>20</v>
      </c>
      <c r="C7" s="74">
        <v>1010.65</v>
      </c>
      <c r="D7" s="74"/>
      <c r="E7" s="57" t="str">
        <f t="shared" si="0"/>
        <v/>
      </c>
    </row>
    <row r="8" spans="1:5" ht="15" customHeight="1">
      <c r="A8" s="46">
        <v>21</v>
      </c>
      <c r="B8" s="46">
        <v>25</v>
      </c>
      <c r="C8" s="74">
        <v>1117.95</v>
      </c>
      <c r="D8" s="74"/>
      <c r="E8" s="57" t="str">
        <f t="shared" si="0"/>
        <v/>
      </c>
    </row>
    <row r="9" spans="1:5" ht="15" customHeight="1">
      <c r="A9" s="46">
        <v>26</v>
      </c>
      <c r="B9" s="46">
        <v>30</v>
      </c>
      <c r="C9" s="74">
        <v>1215.0999999999999</v>
      </c>
      <c r="D9" s="74"/>
      <c r="E9" s="57" t="str">
        <f t="shared" si="0"/>
        <v/>
      </c>
    </row>
    <row r="10" spans="1:5" ht="15" customHeight="1">
      <c r="A10" s="46">
        <v>31</v>
      </c>
      <c r="B10" s="46">
        <v>40</v>
      </c>
      <c r="C10" s="74">
        <v>1313.7</v>
      </c>
      <c r="D10" s="74"/>
      <c r="E10" s="57" t="str">
        <f t="shared" si="0"/>
        <v/>
      </c>
    </row>
    <row r="11" spans="1:5" ht="15" customHeight="1">
      <c r="A11" s="46">
        <v>41</v>
      </c>
      <c r="B11" s="46">
        <v>50</v>
      </c>
      <c r="C11" s="74">
        <v>1403.6</v>
      </c>
      <c r="D11" s="74"/>
      <c r="E11" s="57" t="str">
        <f t="shared" si="0"/>
        <v/>
      </c>
    </row>
    <row r="12" spans="1:5" ht="15" customHeight="1">
      <c r="A12" s="46">
        <v>51</v>
      </c>
      <c r="B12" s="46">
        <v>60</v>
      </c>
      <c r="C12" s="74">
        <v>1492.05</v>
      </c>
      <c r="D12" s="74"/>
      <c r="E12" s="57" t="str">
        <f t="shared" si="0"/>
        <v/>
      </c>
    </row>
    <row r="13" spans="1:5" ht="15" customHeight="1">
      <c r="A13" s="46">
        <v>61</v>
      </c>
      <c r="B13" s="46">
        <v>70</v>
      </c>
      <c r="C13" s="74">
        <v>1580.5</v>
      </c>
      <c r="D13" s="74"/>
      <c r="E13" s="57" t="str">
        <f t="shared" si="0"/>
        <v/>
      </c>
    </row>
    <row r="14" spans="1:5" ht="15" customHeight="1">
      <c r="A14" s="46">
        <v>71</v>
      </c>
      <c r="B14" s="46">
        <v>80</v>
      </c>
      <c r="C14" s="74">
        <v>1664.6</v>
      </c>
      <c r="D14" s="74"/>
      <c r="E14" s="57" t="str">
        <f t="shared" si="0"/>
        <v/>
      </c>
    </row>
    <row r="15" spans="1:5" ht="15" customHeight="1">
      <c r="A15" s="46">
        <v>81</v>
      </c>
      <c r="B15" s="46">
        <v>90</v>
      </c>
      <c r="C15" s="74">
        <v>1811.05</v>
      </c>
      <c r="D15" s="74"/>
      <c r="E15" s="57" t="str">
        <f t="shared" si="0"/>
        <v/>
      </c>
    </row>
    <row r="16" spans="1:5" ht="15" customHeight="1">
      <c r="A16" s="46">
        <v>91</v>
      </c>
      <c r="B16" s="46">
        <v>100</v>
      </c>
      <c r="C16" s="74">
        <v>1983.6</v>
      </c>
      <c r="D16" s="74"/>
      <c r="E16" s="57" t="str">
        <f t="shared" si="0"/>
        <v/>
      </c>
    </row>
    <row r="17" spans="1:5" ht="15" customHeight="1">
      <c r="A17" s="46">
        <v>101</v>
      </c>
      <c r="B17" s="46">
        <v>110</v>
      </c>
      <c r="C17" s="74">
        <v>2186.6</v>
      </c>
      <c r="D17" s="74"/>
      <c r="E17" s="57" t="str">
        <f t="shared" si="0"/>
        <v/>
      </c>
    </row>
    <row r="18" spans="1:5" ht="15" customHeight="1">
      <c r="A18" s="46">
        <v>111</v>
      </c>
      <c r="B18" s="46">
        <v>120</v>
      </c>
      <c r="C18" s="74">
        <v>2392.5</v>
      </c>
      <c r="D18" s="74"/>
      <c r="E18" s="57" t="str">
        <f t="shared" si="0"/>
        <v/>
      </c>
    </row>
    <row r="19" spans="1:5" ht="15" customHeight="1">
      <c r="A19" s="46">
        <v>121</v>
      </c>
      <c r="B19" s="46">
        <v>130</v>
      </c>
      <c r="C19" s="74">
        <v>2604.1999999999998</v>
      </c>
      <c r="D19" s="74"/>
      <c r="E19" s="57" t="str">
        <f t="shared" si="0"/>
        <v/>
      </c>
    </row>
    <row r="20" spans="1:5" ht="15" customHeight="1">
      <c r="A20" s="46">
        <v>131</v>
      </c>
      <c r="B20" s="46">
        <v>140</v>
      </c>
      <c r="C20" s="74">
        <v>2818.8</v>
      </c>
      <c r="D20" s="74"/>
      <c r="E20" s="57" t="str">
        <f t="shared" si="0"/>
        <v/>
      </c>
    </row>
    <row r="21" spans="1:5" ht="15" customHeight="1">
      <c r="A21" s="46">
        <v>141</v>
      </c>
      <c r="B21" s="46">
        <v>150</v>
      </c>
      <c r="C21" s="74">
        <v>3036.3</v>
      </c>
      <c r="D21" s="74"/>
      <c r="E21" s="57" t="str">
        <f t="shared" si="0"/>
        <v/>
      </c>
    </row>
    <row r="22" spans="1:5" ht="15" customHeight="1">
      <c r="A22" s="46">
        <v>151</v>
      </c>
      <c r="B22" s="46">
        <v>160</v>
      </c>
      <c r="C22" s="74">
        <v>3259.6</v>
      </c>
      <c r="D22" s="74"/>
      <c r="E22" s="57" t="str">
        <f t="shared" si="0"/>
        <v/>
      </c>
    </row>
    <row r="23" spans="1:5" ht="15" customHeight="1">
      <c r="A23" s="46">
        <v>161</v>
      </c>
      <c r="B23" s="46">
        <v>170</v>
      </c>
      <c r="C23" s="74">
        <v>3487.25</v>
      </c>
      <c r="D23" s="74"/>
      <c r="E23" s="57" t="str">
        <f t="shared" si="0"/>
        <v/>
      </c>
    </row>
    <row r="24" spans="1:5" ht="15" customHeight="1">
      <c r="A24" s="46">
        <v>171</v>
      </c>
      <c r="B24" s="46">
        <v>180</v>
      </c>
      <c r="C24" s="74">
        <v>3717.8</v>
      </c>
      <c r="D24" s="74"/>
      <c r="E24" s="57" t="str">
        <f t="shared" si="0"/>
        <v/>
      </c>
    </row>
    <row r="25" spans="1:5" ht="15" customHeight="1">
      <c r="A25" s="46">
        <v>181</v>
      </c>
      <c r="B25" s="46">
        <v>190</v>
      </c>
      <c r="C25" s="74">
        <v>3952.7</v>
      </c>
      <c r="D25" s="74"/>
      <c r="E25" s="57" t="str">
        <f t="shared" si="0"/>
        <v/>
      </c>
    </row>
    <row r="26" spans="1:5" ht="15" customHeight="1">
      <c r="A26" s="46">
        <v>191</v>
      </c>
      <c r="B26" s="46">
        <v>200</v>
      </c>
      <c r="C26" s="74">
        <v>4189.05</v>
      </c>
      <c r="D26" s="74"/>
      <c r="E26" s="57" t="str">
        <f t="shared" si="0"/>
        <v/>
      </c>
    </row>
    <row r="27" spans="1:5" ht="15" customHeight="1">
      <c r="A27" s="46">
        <v>201</v>
      </c>
      <c r="B27" s="46">
        <v>250</v>
      </c>
      <c r="C27" s="74">
        <v>4582</v>
      </c>
      <c r="D27" s="74"/>
      <c r="E27" s="57" t="str">
        <f t="shared" si="0"/>
        <v/>
      </c>
    </row>
    <row r="28" spans="1:5" ht="15" customHeight="1">
      <c r="A28" s="46">
        <v>251</v>
      </c>
      <c r="B28" s="46">
        <v>300</v>
      </c>
      <c r="C28" s="74">
        <v>4908.25</v>
      </c>
      <c r="D28" s="74"/>
      <c r="E28" s="57" t="str">
        <f t="shared" si="0"/>
        <v/>
      </c>
    </row>
    <row r="29" spans="1:5" ht="15" customHeight="1">
      <c r="A29" s="46">
        <v>301</v>
      </c>
      <c r="B29" s="46">
        <v>400</v>
      </c>
      <c r="C29" s="74">
        <v>5408.5</v>
      </c>
      <c r="D29" s="74"/>
      <c r="E29" s="57" t="str">
        <f t="shared" si="0"/>
        <v/>
      </c>
    </row>
    <row r="30" spans="1:5" ht="15" customHeight="1">
      <c r="A30" s="46">
        <v>401</v>
      </c>
      <c r="B30" s="46">
        <v>500</v>
      </c>
      <c r="C30" s="74">
        <v>6229.2</v>
      </c>
      <c r="D30" s="74"/>
      <c r="E30" s="57" t="str">
        <f t="shared" si="0"/>
        <v/>
      </c>
    </row>
    <row r="31" spans="1:5" ht="15" customHeight="1">
      <c r="A31" s="46">
        <v>501</v>
      </c>
      <c r="B31" s="46">
        <v>750</v>
      </c>
      <c r="C31" s="74">
        <v>7057.15</v>
      </c>
      <c r="D31" s="74"/>
      <c r="E31" s="57" t="str">
        <f t="shared" si="0"/>
        <v/>
      </c>
    </row>
    <row r="32" spans="1:5" ht="15" customHeight="1">
      <c r="A32" s="46">
        <v>751</v>
      </c>
      <c r="B32" s="46">
        <v>1000</v>
      </c>
      <c r="C32" s="74">
        <v>8853.7000000000007</v>
      </c>
      <c r="D32" s="74"/>
      <c r="E32" s="57" t="str">
        <f t="shared" si="0"/>
        <v/>
      </c>
    </row>
    <row r="33" spans="1:5" ht="15" customHeight="1">
      <c r="A33" s="46">
        <v>1001</v>
      </c>
      <c r="B33" s="46">
        <v>1500</v>
      </c>
      <c r="C33" s="74">
        <v>10408.1</v>
      </c>
      <c r="D33" s="74"/>
      <c r="E33" s="57" t="str">
        <f t="shared" si="0"/>
        <v/>
      </c>
    </row>
    <row r="34" spans="1:5" ht="15" customHeight="1">
      <c r="C34" s="74"/>
      <c r="D34" s="74"/>
    </row>
    <row r="35" spans="1:5" ht="15" customHeight="1">
      <c r="C35" s="74"/>
      <c r="D35" s="74"/>
    </row>
    <row r="36" spans="1:5">
      <c r="C36" s="74"/>
      <c r="D36" s="74"/>
    </row>
    <row r="37" spans="1:5">
      <c r="C37" s="74"/>
      <c r="D37" s="74"/>
    </row>
    <row r="38" spans="1:5">
      <c r="C38" s="74"/>
      <c r="D38" s="74"/>
    </row>
    <row r="39" spans="1:5">
      <c r="C39" s="74"/>
      <c r="D39" s="74"/>
    </row>
    <row r="40" spans="1:5">
      <c r="C40" s="74"/>
      <c r="D40" s="74"/>
    </row>
    <row r="41" spans="1:5">
      <c r="C41" s="74"/>
      <c r="D41" s="74"/>
    </row>
    <row r="42" spans="1:5">
      <c r="C42" s="74"/>
      <c r="D42" s="74"/>
    </row>
    <row r="46" spans="1:5" ht="18">
      <c r="A46" s="209"/>
      <c r="B46" s="196"/>
      <c r="C46" s="196"/>
      <c r="D46" s="196"/>
    </row>
  </sheetData>
  <mergeCells count="1">
    <mergeCell ref="A46:D46"/>
  </mergeCells>
  <conditionalFormatting sqref="E1:E972">
    <cfRule type="cellIs" dxfId="1" priority="1" operator="equal">
      <formula>"x"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86E8"/>
    <outlinePr summaryBelow="0" summaryRight="0"/>
  </sheetPr>
  <dimension ref="A1:E46"/>
  <sheetViews>
    <sheetView workbookViewId="0"/>
  </sheetViews>
  <sheetFormatPr baseColWidth="10" defaultColWidth="14.42578125" defaultRowHeight="15" customHeight="1"/>
  <cols>
    <col min="3" max="3" width="20.42578125" customWidth="1"/>
    <col min="4" max="4" width="27.42578125" customWidth="1"/>
  </cols>
  <sheetData>
    <row r="1" spans="1:5" ht="15" customHeight="1">
      <c r="A1" s="72" t="s">
        <v>4415</v>
      </c>
      <c r="B1" s="72" t="s">
        <v>4416</v>
      </c>
      <c r="C1" s="72" t="s">
        <v>4417</v>
      </c>
      <c r="D1" s="72" t="s">
        <v>4418</v>
      </c>
      <c r="E1" s="73" t="s">
        <v>4419</v>
      </c>
    </row>
    <row r="2" spans="1:5" ht="15" customHeight="1">
      <c r="A2" s="46">
        <v>0</v>
      </c>
      <c r="B2" s="46">
        <v>0</v>
      </c>
      <c r="C2" s="74">
        <v>44.01</v>
      </c>
      <c r="D2" s="74"/>
      <c r="E2" s="57" t="str">
        <f t="shared" ref="E2:E33" si="0">IF(AND(anzahlMitarbeiterGesamt&gt;=A2,anzahlMitarbeiterGesamt&lt;=B2),"x","")</f>
        <v>x</v>
      </c>
    </row>
    <row r="3" spans="1:5" ht="15" customHeight="1">
      <c r="A3" s="46">
        <v>1</v>
      </c>
      <c r="B3" s="46">
        <v>3</v>
      </c>
      <c r="C3" s="74">
        <v>56.57</v>
      </c>
      <c r="D3" s="74"/>
      <c r="E3" s="57" t="str">
        <f t="shared" si="0"/>
        <v/>
      </c>
    </row>
    <row r="4" spans="1:5" ht="15" customHeight="1">
      <c r="A4" s="46">
        <v>4</v>
      </c>
      <c r="B4" s="46">
        <v>6</v>
      </c>
      <c r="C4" s="74">
        <v>68.849999999999994</v>
      </c>
      <c r="D4" s="74"/>
      <c r="E4" s="57" t="str">
        <f t="shared" si="0"/>
        <v/>
      </c>
    </row>
    <row r="5" spans="1:5" ht="15" customHeight="1">
      <c r="A5" s="46">
        <v>7</v>
      </c>
      <c r="B5" s="46">
        <v>10</v>
      </c>
      <c r="C5" s="74">
        <v>81.41</v>
      </c>
      <c r="D5" s="74"/>
      <c r="E5" s="57" t="str">
        <f t="shared" si="0"/>
        <v/>
      </c>
    </row>
    <row r="6" spans="1:5" ht="15" customHeight="1">
      <c r="A6" s="46">
        <v>11</v>
      </c>
      <c r="B6" s="46">
        <v>15</v>
      </c>
      <c r="C6" s="74">
        <v>93.42</v>
      </c>
      <c r="D6" s="74"/>
      <c r="E6" s="57" t="str">
        <f t="shared" si="0"/>
        <v/>
      </c>
    </row>
    <row r="7" spans="1:5" ht="15" customHeight="1">
      <c r="A7" s="46">
        <v>16</v>
      </c>
      <c r="B7" s="46">
        <v>20</v>
      </c>
      <c r="C7" s="74">
        <v>104.49</v>
      </c>
      <c r="D7" s="74"/>
      <c r="E7" s="57" t="str">
        <f t="shared" si="0"/>
        <v/>
      </c>
    </row>
    <row r="8" spans="1:5" ht="15" customHeight="1">
      <c r="A8" s="46">
        <v>21</v>
      </c>
      <c r="B8" s="46">
        <v>25</v>
      </c>
      <c r="C8" s="74">
        <v>115.56</v>
      </c>
      <c r="D8" s="74"/>
      <c r="E8" s="57" t="str">
        <f t="shared" si="0"/>
        <v/>
      </c>
    </row>
    <row r="9" spans="1:5" ht="15" customHeight="1">
      <c r="A9" s="46">
        <v>26</v>
      </c>
      <c r="B9" s="46">
        <v>30</v>
      </c>
      <c r="C9" s="74">
        <v>125.69</v>
      </c>
      <c r="D9" s="74"/>
      <c r="E9" s="57" t="str">
        <f t="shared" si="0"/>
        <v/>
      </c>
    </row>
    <row r="10" spans="1:5" ht="15" customHeight="1">
      <c r="A10" s="46">
        <v>31</v>
      </c>
      <c r="B10" s="46">
        <v>40</v>
      </c>
      <c r="C10" s="74">
        <v>135.81</v>
      </c>
      <c r="D10" s="74"/>
      <c r="E10" s="57" t="str">
        <f t="shared" si="0"/>
        <v/>
      </c>
    </row>
    <row r="11" spans="1:5" ht="15" customHeight="1">
      <c r="A11" s="46">
        <v>41</v>
      </c>
      <c r="B11" s="46">
        <v>50</v>
      </c>
      <c r="C11" s="74">
        <v>145.13</v>
      </c>
      <c r="D11" s="74"/>
      <c r="E11" s="57" t="str">
        <f t="shared" si="0"/>
        <v/>
      </c>
    </row>
    <row r="12" spans="1:5" ht="15" customHeight="1">
      <c r="A12" s="46">
        <v>51</v>
      </c>
      <c r="B12" s="46">
        <v>60</v>
      </c>
      <c r="C12" s="74">
        <v>154.31</v>
      </c>
      <c r="D12" s="74"/>
      <c r="E12" s="57" t="str">
        <f t="shared" si="0"/>
        <v/>
      </c>
    </row>
    <row r="13" spans="1:5" ht="15" customHeight="1">
      <c r="A13" s="46">
        <v>61</v>
      </c>
      <c r="B13" s="46">
        <v>70</v>
      </c>
      <c r="C13" s="74">
        <v>163.49</v>
      </c>
      <c r="D13" s="74"/>
      <c r="E13" s="57" t="str">
        <f t="shared" si="0"/>
        <v/>
      </c>
    </row>
    <row r="14" spans="1:5" ht="15" customHeight="1">
      <c r="A14" s="46">
        <v>71</v>
      </c>
      <c r="B14" s="46">
        <v>80</v>
      </c>
      <c r="C14" s="74">
        <v>172.13</v>
      </c>
      <c r="D14" s="74"/>
      <c r="E14" s="57" t="str">
        <f t="shared" si="0"/>
        <v/>
      </c>
    </row>
    <row r="15" spans="1:5" ht="15" customHeight="1">
      <c r="A15" s="46">
        <v>81</v>
      </c>
      <c r="B15" s="46">
        <v>90</v>
      </c>
      <c r="C15" s="74">
        <v>187.25</v>
      </c>
      <c r="D15" s="74"/>
      <c r="E15" s="57" t="str">
        <f t="shared" si="0"/>
        <v/>
      </c>
    </row>
    <row r="16" spans="1:5" ht="15" customHeight="1">
      <c r="A16" s="46">
        <v>91</v>
      </c>
      <c r="B16" s="46">
        <v>100</v>
      </c>
      <c r="C16" s="74">
        <v>205.2</v>
      </c>
      <c r="D16" s="74"/>
      <c r="E16" s="57" t="str">
        <f t="shared" si="0"/>
        <v/>
      </c>
    </row>
    <row r="17" spans="1:5" ht="15" customHeight="1">
      <c r="A17" s="46">
        <v>101</v>
      </c>
      <c r="B17" s="46">
        <v>110</v>
      </c>
      <c r="C17" s="74">
        <v>223.7</v>
      </c>
      <c r="D17" s="74"/>
      <c r="E17" s="57" t="str">
        <f t="shared" si="0"/>
        <v/>
      </c>
    </row>
    <row r="18" spans="1:5" ht="15" customHeight="1">
      <c r="A18" s="46">
        <v>111</v>
      </c>
      <c r="B18" s="46">
        <v>120</v>
      </c>
      <c r="C18" s="74">
        <v>242.06</v>
      </c>
      <c r="D18" s="74"/>
      <c r="E18" s="57" t="str">
        <f t="shared" si="0"/>
        <v/>
      </c>
    </row>
    <row r="19" spans="1:5" ht="15" customHeight="1">
      <c r="A19" s="46">
        <v>121</v>
      </c>
      <c r="B19" s="46">
        <v>130</v>
      </c>
      <c r="C19" s="74">
        <v>278.10000000000002</v>
      </c>
      <c r="D19" s="74"/>
      <c r="E19" s="57" t="str">
        <f t="shared" si="0"/>
        <v/>
      </c>
    </row>
    <row r="20" spans="1:5" ht="15" customHeight="1">
      <c r="A20" s="46">
        <v>131</v>
      </c>
      <c r="B20" s="46">
        <v>140</v>
      </c>
      <c r="C20" s="74">
        <v>297.89999999999998</v>
      </c>
      <c r="D20" s="74"/>
      <c r="E20" s="57" t="str">
        <f t="shared" si="0"/>
        <v/>
      </c>
    </row>
    <row r="21" spans="1:5" ht="15" customHeight="1">
      <c r="A21" s="46">
        <v>141</v>
      </c>
      <c r="B21" s="46">
        <v>150</v>
      </c>
      <c r="C21" s="74">
        <v>337.5</v>
      </c>
      <c r="D21" s="74"/>
      <c r="E21" s="57" t="str">
        <f t="shared" si="0"/>
        <v/>
      </c>
    </row>
    <row r="22" spans="1:5" ht="15" customHeight="1">
      <c r="A22" s="46">
        <v>151</v>
      </c>
      <c r="B22" s="46">
        <v>160</v>
      </c>
      <c r="C22" s="74">
        <v>358.2</v>
      </c>
      <c r="D22" s="74"/>
      <c r="E22" s="57" t="str">
        <f t="shared" si="0"/>
        <v/>
      </c>
    </row>
    <row r="23" spans="1:5" ht="15" customHeight="1">
      <c r="A23" s="46">
        <v>161</v>
      </c>
      <c r="B23" s="46">
        <v>170</v>
      </c>
      <c r="C23" s="74">
        <v>390.6</v>
      </c>
      <c r="D23" s="74"/>
      <c r="E23" s="57" t="str">
        <f t="shared" si="0"/>
        <v/>
      </c>
    </row>
    <row r="24" spans="1:5" ht="15" customHeight="1">
      <c r="A24" s="46">
        <v>171</v>
      </c>
      <c r="B24" s="46">
        <v>180</v>
      </c>
      <c r="C24" s="74">
        <v>412.2</v>
      </c>
      <c r="D24" s="74"/>
      <c r="E24" s="57" t="str">
        <f t="shared" si="0"/>
        <v/>
      </c>
    </row>
    <row r="25" spans="1:5" ht="15" customHeight="1">
      <c r="A25" s="46">
        <v>181</v>
      </c>
      <c r="B25" s="46">
        <v>190</v>
      </c>
      <c r="C25" s="74">
        <v>495.9</v>
      </c>
      <c r="D25" s="74"/>
      <c r="E25" s="57" t="str">
        <f t="shared" si="0"/>
        <v/>
      </c>
    </row>
    <row r="26" spans="1:5" ht="15" customHeight="1">
      <c r="A26" s="46">
        <v>191</v>
      </c>
      <c r="B26" s="46">
        <v>200</v>
      </c>
      <c r="C26" s="74">
        <v>715.05</v>
      </c>
      <c r="D26" s="74"/>
      <c r="E26" s="57" t="str">
        <f t="shared" si="0"/>
        <v/>
      </c>
    </row>
    <row r="27" spans="1:5" ht="15" customHeight="1">
      <c r="A27" s="46">
        <v>201</v>
      </c>
      <c r="B27" s="46">
        <v>250</v>
      </c>
      <c r="C27" s="74">
        <v>782.1</v>
      </c>
      <c r="D27" s="74"/>
      <c r="E27" s="57" t="str">
        <f t="shared" si="0"/>
        <v/>
      </c>
    </row>
    <row r="28" spans="1:5" ht="15" customHeight="1">
      <c r="A28" s="46">
        <v>251</v>
      </c>
      <c r="B28" s="46">
        <v>300</v>
      </c>
      <c r="C28" s="74">
        <v>837.9</v>
      </c>
      <c r="D28" s="74"/>
      <c r="E28" s="57" t="str">
        <f t="shared" si="0"/>
        <v/>
      </c>
    </row>
    <row r="29" spans="1:5" ht="15" customHeight="1">
      <c r="A29" s="46">
        <v>301</v>
      </c>
      <c r="B29" s="46">
        <v>400</v>
      </c>
      <c r="C29" s="74">
        <v>923.4</v>
      </c>
      <c r="D29" s="74"/>
      <c r="E29" s="57" t="str">
        <f t="shared" si="0"/>
        <v/>
      </c>
    </row>
    <row r="30" spans="1:5" ht="15" customHeight="1">
      <c r="A30" s="46">
        <v>401</v>
      </c>
      <c r="B30" s="46">
        <v>500</v>
      </c>
      <c r="C30" s="74">
        <v>1063.3499999999999</v>
      </c>
      <c r="D30" s="74"/>
      <c r="E30" s="57" t="str">
        <f t="shared" si="0"/>
        <v/>
      </c>
    </row>
    <row r="31" spans="1:5" ht="15" customHeight="1">
      <c r="A31" s="46">
        <v>501</v>
      </c>
      <c r="B31" s="46">
        <v>750</v>
      </c>
      <c r="C31" s="74">
        <v>1204.6500000000001</v>
      </c>
      <c r="D31" s="74"/>
      <c r="E31" s="57" t="str">
        <f t="shared" si="0"/>
        <v/>
      </c>
    </row>
    <row r="32" spans="1:5" ht="15" customHeight="1">
      <c r="A32" s="46">
        <v>751</v>
      </c>
      <c r="B32" s="46">
        <v>1000</v>
      </c>
      <c r="C32" s="74">
        <v>1373.85</v>
      </c>
      <c r="D32" s="74"/>
      <c r="E32" s="57" t="str">
        <f t="shared" si="0"/>
        <v/>
      </c>
    </row>
    <row r="33" spans="1:5" ht="15" customHeight="1">
      <c r="A33" s="46">
        <v>1001</v>
      </c>
      <c r="B33" s="46">
        <v>1500</v>
      </c>
      <c r="C33" s="74">
        <v>1534.5</v>
      </c>
      <c r="D33" s="74"/>
      <c r="E33" s="57" t="str">
        <f t="shared" si="0"/>
        <v/>
      </c>
    </row>
    <row r="34" spans="1:5" ht="15" customHeight="1">
      <c r="C34" s="74"/>
      <c r="D34" s="74"/>
    </row>
    <row r="35" spans="1:5" ht="15" customHeight="1">
      <c r="C35" s="74"/>
      <c r="D35" s="74"/>
    </row>
    <row r="36" spans="1:5">
      <c r="C36" s="74"/>
      <c r="D36" s="74"/>
    </row>
    <row r="37" spans="1:5">
      <c r="C37" s="74"/>
      <c r="D37" s="74"/>
    </row>
    <row r="38" spans="1:5">
      <c r="C38" s="74"/>
      <c r="D38" s="74"/>
    </row>
    <row r="39" spans="1:5">
      <c r="C39" s="74"/>
      <c r="D39" s="74"/>
    </row>
    <row r="40" spans="1:5">
      <c r="C40" s="74"/>
      <c r="D40" s="74"/>
    </row>
    <row r="41" spans="1:5">
      <c r="C41" s="74"/>
      <c r="D41" s="74"/>
    </row>
    <row r="42" spans="1:5">
      <c r="C42" s="74"/>
      <c r="D42" s="74"/>
    </row>
    <row r="46" spans="1:5" ht="18">
      <c r="A46" s="209"/>
      <c r="B46" s="196"/>
      <c r="C46" s="196"/>
      <c r="D46" s="196"/>
    </row>
  </sheetData>
  <mergeCells count="1">
    <mergeCell ref="A46:D46"/>
  </mergeCells>
  <conditionalFormatting sqref="E1:E972">
    <cfRule type="cellIs" dxfId="0" priority="1" operator="equal">
      <formula>"x"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85C6"/>
    <outlinePr summaryBelow="0" summaryRight="0"/>
  </sheetPr>
  <dimension ref="A1:E5"/>
  <sheetViews>
    <sheetView workbookViewId="0"/>
  </sheetViews>
  <sheetFormatPr baseColWidth="10" defaultColWidth="14.42578125" defaultRowHeight="15" customHeight="1"/>
  <cols>
    <col min="1" max="1" width="20.140625" customWidth="1"/>
  </cols>
  <sheetData>
    <row r="1" spans="1:5" ht="15" customHeight="1">
      <c r="A1" s="75" t="s">
        <v>35</v>
      </c>
      <c r="B1" s="75" t="s">
        <v>45</v>
      </c>
      <c r="C1" s="75" t="s">
        <v>47</v>
      </c>
      <c r="D1" s="75" t="s">
        <v>49</v>
      </c>
      <c r="E1" s="75" t="s">
        <v>4420</v>
      </c>
    </row>
    <row r="2" spans="1:5" ht="15" customHeight="1">
      <c r="A2" s="76">
        <v>500000</v>
      </c>
      <c r="B2" s="76" t="str">
        <f>IF(A2=limit1,"X","")</f>
        <v/>
      </c>
      <c r="C2" s="76" t="str">
        <f>IF(A2=limit2,"X","")</f>
        <v/>
      </c>
      <c r="D2" s="76" t="str">
        <f>IF(A2=limit3,"X","")</f>
        <v/>
      </c>
      <c r="E2" s="76">
        <v>0</v>
      </c>
    </row>
    <row r="3" spans="1:5" ht="15" customHeight="1">
      <c r="A3" s="76">
        <v>1000000</v>
      </c>
      <c r="B3" s="76" t="str">
        <f>IF(A3=limit1,"X","")</f>
        <v/>
      </c>
      <c r="C3" s="76" t="str">
        <f>IF(A3=limit2,"X","")</f>
        <v/>
      </c>
      <c r="D3" s="76" t="str">
        <f>IF(A3=limit3,"X","")</f>
        <v/>
      </c>
      <c r="E3" s="76">
        <v>10</v>
      </c>
    </row>
    <row r="4" spans="1:5" ht="15" customHeight="1">
      <c r="A4" s="76">
        <v>1500000</v>
      </c>
      <c r="B4" s="76" t="str">
        <f>IF(A4=limit1,"X","")</f>
        <v/>
      </c>
      <c r="C4" s="76" t="str">
        <f>IF(A4=limit2,"X","")</f>
        <v/>
      </c>
      <c r="D4" s="76" t="str">
        <f>IF(A4=limit3,"X","")</f>
        <v/>
      </c>
      <c r="E4" s="76">
        <v>40</v>
      </c>
    </row>
    <row r="5" spans="1:5" ht="15" customHeight="1">
      <c r="A5" s="76">
        <v>2000000</v>
      </c>
      <c r="B5" s="76" t="str">
        <f>IF(A5=limit1,"X","")</f>
        <v/>
      </c>
      <c r="C5" s="76" t="str">
        <f>IF(A5=limit2,"X","")</f>
        <v/>
      </c>
      <c r="D5" s="76" t="str">
        <f>IF(A5=limit3,"X","")</f>
        <v/>
      </c>
      <c r="E5" s="76">
        <v>60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85C6"/>
    <outlinePr summaryBelow="0" summaryRight="0"/>
  </sheetPr>
  <dimension ref="A1:E5"/>
  <sheetViews>
    <sheetView workbookViewId="0"/>
  </sheetViews>
  <sheetFormatPr baseColWidth="10" defaultColWidth="14.42578125" defaultRowHeight="15" customHeight="1"/>
  <cols>
    <col min="1" max="1" width="20.140625" customWidth="1"/>
  </cols>
  <sheetData>
    <row r="1" spans="1:5">
      <c r="A1" s="75" t="s">
        <v>4421</v>
      </c>
      <c r="B1" s="75" t="s">
        <v>45</v>
      </c>
      <c r="C1" s="75" t="s">
        <v>47</v>
      </c>
      <c r="D1" s="75" t="s">
        <v>49</v>
      </c>
      <c r="E1" s="75" t="s">
        <v>4420</v>
      </c>
    </row>
    <row r="2" spans="1:5">
      <c r="A2" s="76">
        <v>150000</v>
      </c>
      <c r="B2" s="76" t="str">
        <f>IF(A2=sublimit1,"X","")</f>
        <v/>
      </c>
      <c r="C2" s="76" t="str">
        <f>IF(A2=sublimit2,"X","")</f>
        <v/>
      </c>
      <c r="D2" s="76" t="str">
        <f>IF(A2=sublimit3,"X","")</f>
        <v/>
      </c>
      <c r="E2" s="76">
        <v>60</v>
      </c>
    </row>
    <row r="3" spans="1:5">
      <c r="A3" s="76">
        <v>400000</v>
      </c>
      <c r="B3" s="76" t="str">
        <f>IF(A3=sublimit1,"X","")</f>
        <v/>
      </c>
      <c r="C3" s="76" t="str">
        <f>IF(A3=sublimit2,"X","")</f>
        <v/>
      </c>
      <c r="D3" s="76" t="str">
        <f>IF(A3=sublimit3,"X","")</f>
        <v/>
      </c>
      <c r="E3" s="76">
        <v>160</v>
      </c>
    </row>
    <row r="4" spans="1:5" hidden="1">
      <c r="A4" s="76"/>
      <c r="B4" s="76"/>
      <c r="C4" s="76"/>
      <c r="D4" s="76"/>
      <c r="E4" s="76"/>
    </row>
    <row r="5" spans="1:5" hidden="1">
      <c r="A5" s="76"/>
      <c r="B5" s="76"/>
      <c r="C5" s="76"/>
      <c r="D5" s="76"/>
      <c r="E5" s="76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0"/>
  <sheetViews>
    <sheetView workbookViewId="0"/>
  </sheetViews>
  <sheetFormatPr baseColWidth="10" defaultColWidth="14.42578125" defaultRowHeight="15" customHeight="1"/>
  <cols>
    <col min="1" max="1" width="23.42578125" customWidth="1"/>
    <col min="2" max="2" width="24.140625" customWidth="1"/>
  </cols>
  <sheetData>
    <row r="1" spans="1:3">
      <c r="A1" s="77" t="s">
        <v>4422</v>
      </c>
    </row>
    <row r="2" spans="1:3">
      <c r="B2" s="78" t="s">
        <v>4423</v>
      </c>
      <c r="C2" s="79" t="s">
        <v>4424</v>
      </c>
    </row>
    <row r="3" spans="1:3">
      <c r="B3" s="80" t="s">
        <v>4425</v>
      </c>
      <c r="C3" s="80">
        <v>51</v>
      </c>
    </row>
    <row r="4" spans="1:3">
      <c r="B4" s="80" t="s">
        <v>4426</v>
      </c>
      <c r="C4" s="80">
        <v>50</v>
      </c>
    </row>
    <row r="5" spans="1:3">
      <c r="B5" s="80" t="s">
        <v>4427</v>
      </c>
      <c r="C5" s="80">
        <v>49</v>
      </c>
    </row>
    <row r="6" spans="1:3">
      <c r="B6" s="80" t="s">
        <v>4428</v>
      </c>
      <c r="C6" s="80">
        <v>48</v>
      </c>
    </row>
    <row r="8" spans="1:3">
      <c r="A8" s="77" t="s">
        <v>4429</v>
      </c>
    </row>
    <row r="9" spans="1:3">
      <c r="B9" s="81"/>
      <c r="C9" t="e">
        <f>VLOOKUP(B9,B3:C6,2,FALSE())</f>
        <v>#N/A</v>
      </c>
    </row>
    <row r="12" spans="1:3">
      <c r="A12" s="77" t="s">
        <v>4430</v>
      </c>
    </row>
    <row r="13" spans="1:3">
      <c r="B13" s="78" t="s">
        <v>4431</v>
      </c>
      <c r="C13" s="79" t="s">
        <v>4432</v>
      </c>
    </row>
    <row r="14" spans="1:3">
      <c r="B14" s="80" t="s">
        <v>4433</v>
      </c>
      <c r="C14" s="80">
        <v>2840</v>
      </c>
    </row>
    <row r="15" spans="1:3">
      <c r="B15" s="80" t="s">
        <v>4434</v>
      </c>
      <c r="C15" s="80">
        <v>2841</v>
      </c>
    </row>
    <row r="16" spans="1:3">
      <c r="B16" s="80" t="s">
        <v>4435</v>
      </c>
      <c r="C16" s="80">
        <v>2843</v>
      </c>
    </row>
    <row r="17" spans="1:3">
      <c r="B17" s="80" t="s">
        <v>4436</v>
      </c>
      <c r="C17" s="80">
        <v>3840</v>
      </c>
    </row>
    <row r="18" spans="1:3">
      <c r="B18" s="80" t="s">
        <v>4437</v>
      </c>
      <c r="C18" s="80">
        <v>3841</v>
      </c>
    </row>
    <row r="19" spans="1:3">
      <c r="B19" s="80" t="s">
        <v>4438</v>
      </c>
      <c r="C19" s="80">
        <v>3843</v>
      </c>
    </row>
    <row r="21" spans="1:3">
      <c r="A21" s="77" t="s">
        <v>4439</v>
      </c>
    </row>
    <row r="22" spans="1:3">
      <c r="B22" s="82"/>
      <c r="C22" t="e">
        <f>VLOOKUP(B22,B14:C19,2,FALSE())</f>
        <v>#N/A</v>
      </c>
    </row>
    <row r="24" spans="1:3" ht="15" customHeight="1">
      <c r="A24" s="83" t="s">
        <v>4440</v>
      </c>
    </row>
    <row r="25" spans="1:3">
      <c r="B25" s="78" t="s">
        <v>35</v>
      </c>
      <c r="C25" s="79" t="s">
        <v>4441</v>
      </c>
    </row>
    <row r="26" spans="1:3">
      <c r="A26" s="77" t="s">
        <v>4442</v>
      </c>
      <c r="B26" s="84">
        <v>500000</v>
      </c>
      <c r="C26" s="85" t="s">
        <v>4443</v>
      </c>
    </row>
    <row r="27" spans="1:3">
      <c r="B27" s="84">
        <v>1000000</v>
      </c>
      <c r="C27" s="85" t="s">
        <v>4444</v>
      </c>
    </row>
    <row r="28" spans="1:3">
      <c r="B28" s="84">
        <v>1500000</v>
      </c>
      <c r="C28" s="85" t="s">
        <v>4445</v>
      </c>
    </row>
    <row r="29" spans="1:3">
      <c r="B29" s="84">
        <v>2000000</v>
      </c>
      <c r="C29" s="85" t="s">
        <v>4446</v>
      </c>
    </row>
    <row r="30" spans="1:3">
      <c r="B30" s="84">
        <v>2500000</v>
      </c>
      <c r="C30" s="85" t="s">
        <v>4447</v>
      </c>
    </row>
    <row r="31" spans="1:3">
      <c r="B31" s="84">
        <v>3000000</v>
      </c>
      <c r="C31" s="85" t="s">
        <v>4448</v>
      </c>
    </row>
    <row r="32" spans="1:3">
      <c r="B32" s="84">
        <v>3500000</v>
      </c>
      <c r="C32" s="85" t="s">
        <v>4449</v>
      </c>
    </row>
    <row r="33" spans="1:3">
      <c r="B33" s="84">
        <v>4000000</v>
      </c>
      <c r="C33" s="85" t="s">
        <v>4450</v>
      </c>
    </row>
    <row r="34" spans="1:3">
      <c r="B34" s="84">
        <v>4500000</v>
      </c>
      <c r="C34" s="85" t="s">
        <v>4451</v>
      </c>
    </row>
    <row r="35" spans="1:3">
      <c r="B35" s="84">
        <v>5000000</v>
      </c>
      <c r="C35" s="85" t="s">
        <v>4452</v>
      </c>
    </row>
    <row r="37" spans="1:3">
      <c r="A37" s="77" t="s">
        <v>4453</v>
      </c>
    </row>
    <row r="38" spans="1:3">
      <c r="B38" s="82"/>
      <c r="C38" t="e">
        <f>VLOOKUP(B38,B26:C35,2,FALSE())</f>
        <v>#N/A</v>
      </c>
    </row>
    <row r="40" spans="1:3">
      <c r="B40" s="78" t="s">
        <v>35</v>
      </c>
      <c r="C40" s="79" t="s">
        <v>4441</v>
      </c>
    </row>
    <row r="41" spans="1:3">
      <c r="A41" s="77" t="s">
        <v>4454</v>
      </c>
      <c r="B41" s="84">
        <v>50000</v>
      </c>
      <c r="C41" s="85" t="s">
        <v>4455</v>
      </c>
    </row>
    <row r="42" spans="1:3">
      <c r="B42" s="84">
        <v>75000</v>
      </c>
      <c r="C42" s="85" t="s">
        <v>4456</v>
      </c>
    </row>
    <row r="43" spans="1:3">
      <c r="B43" s="84">
        <v>100000</v>
      </c>
      <c r="C43" s="85" t="s">
        <v>4457</v>
      </c>
    </row>
    <row r="44" spans="1:3">
      <c r="B44" s="84">
        <v>125000</v>
      </c>
      <c r="C44" s="85" t="s">
        <v>4458</v>
      </c>
    </row>
    <row r="45" spans="1:3">
      <c r="B45" s="84">
        <v>150000</v>
      </c>
      <c r="C45" s="85" t="s">
        <v>4459</v>
      </c>
    </row>
    <row r="46" spans="1:3">
      <c r="B46" s="84">
        <v>200000</v>
      </c>
      <c r="C46" s="85" t="s">
        <v>4460</v>
      </c>
    </row>
    <row r="47" spans="1:3">
      <c r="B47" s="84">
        <v>1000000</v>
      </c>
      <c r="C47" s="85" t="s">
        <v>4461</v>
      </c>
    </row>
    <row r="48" spans="1:3">
      <c r="B48" s="84">
        <v>250000</v>
      </c>
      <c r="C48" s="85" t="s">
        <v>4462</v>
      </c>
    </row>
    <row r="49" spans="1:3">
      <c r="B49" s="84">
        <v>300000</v>
      </c>
      <c r="C49" s="85" t="s">
        <v>4463</v>
      </c>
    </row>
    <row r="50" spans="1:3">
      <c r="B50" s="84">
        <v>400000</v>
      </c>
      <c r="C50" s="85" t="s">
        <v>4464</v>
      </c>
    </row>
    <row r="51" spans="1:3">
      <c r="B51" s="84">
        <v>500000</v>
      </c>
      <c r="C51" s="85" t="s">
        <v>4465</v>
      </c>
    </row>
    <row r="53" spans="1:3">
      <c r="A53" s="77" t="s">
        <v>4453</v>
      </c>
    </row>
    <row r="54" spans="1:3">
      <c r="C54" t="e">
        <f>VLOOKUP(B54,B41:C51,2,FALSE())</f>
        <v>#N/A</v>
      </c>
    </row>
    <row r="56" spans="1:3">
      <c r="B56" s="78" t="s">
        <v>4466</v>
      </c>
      <c r="C56" s="79" t="s">
        <v>4441</v>
      </c>
    </row>
    <row r="57" spans="1:3">
      <c r="A57" s="77" t="s">
        <v>4467</v>
      </c>
      <c r="B57" s="84">
        <v>50000</v>
      </c>
      <c r="C57" s="85" t="s">
        <v>4468</v>
      </c>
    </row>
    <row r="58" spans="1:3">
      <c r="B58" s="84">
        <v>75000</v>
      </c>
      <c r="C58" s="85" t="s">
        <v>4468</v>
      </c>
    </row>
    <row r="59" spans="1:3">
      <c r="B59" s="84">
        <v>100000</v>
      </c>
      <c r="C59" s="85" t="s">
        <v>4468</v>
      </c>
    </row>
    <row r="60" spans="1:3">
      <c r="B60" s="84">
        <v>125000</v>
      </c>
      <c r="C60" s="85" t="s">
        <v>4468</v>
      </c>
    </row>
    <row r="61" spans="1:3">
      <c r="B61" s="84">
        <v>150000</v>
      </c>
      <c r="C61" s="85" t="s">
        <v>4468</v>
      </c>
    </row>
    <row r="62" spans="1:3">
      <c r="B62" s="84">
        <v>200000</v>
      </c>
      <c r="C62" s="85" t="s">
        <v>4468</v>
      </c>
    </row>
    <row r="63" spans="1:3">
      <c r="B63" s="84">
        <v>1000000</v>
      </c>
      <c r="C63" s="85" t="s">
        <v>4468</v>
      </c>
    </row>
    <row r="64" spans="1:3">
      <c r="B64" s="84">
        <v>250000</v>
      </c>
      <c r="C64" s="85" t="s">
        <v>4468</v>
      </c>
    </row>
    <row r="65" spans="1:3">
      <c r="B65" s="84">
        <v>300000</v>
      </c>
      <c r="C65" s="85" t="s">
        <v>4468</v>
      </c>
    </row>
    <row r="66" spans="1:3">
      <c r="B66" s="84">
        <v>400000</v>
      </c>
      <c r="C66" s="85" t="s">
        <v>4468</v>
      </c>
    </row>
    <row r="67" spans="1:3">
      <c r="B67" s="84">
        <v>500000</v>
      </c>
      <c r="C67" s="85" t="s">
        <v>4468</v>
      </c>
    </row>
    <row r="69" spans="1:3">
      <c r="A69" s="77" t="s">
        <v>4453</v>
      </c>
    </row>
    <row r="70" spans="1:3">
      <c r="B70" s="84"/>
      <c r="C70" t="e">
        <f>VLOOKUP(B70,B57:C67,2,FALSE())</f>
        <v>#N/A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8" sqref="C28"/>
    </sheetView>
  </sheetViews>
  <sheetFormatPr baseColWidth="10" defaultColWidth="11.42578125" defaultRowHeight="15"/>
  <cols>
    <col min="1" max="1" width="26.85546875" customWidth="1"/>
    <col min="2" max="2" width="21" customWidth="1"/>
  </cols>
  <sheetData>
    <row r="1" spans="1:3">
      <c r="B1" t="s">
        <v>4470</v>
      </c>
      <c r="C1" t="s">
        <v>4478</v>
      </c>
    </row>
    <row r="2" spans="1:3">
      <c r="A2" s="86" t="s">
        <v>4469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14</vt:i4>
      </vt:variant>
      <vt:variant>
        <vt:lpstr>Benannte Bereiche</vt:lpstr>
      </vt:variant>
      <vt:variant>
        <vt:i4>273</vt:i4>
      </vt:variant>
    </vt:vector>
  </HeadingPairs>
  <TitlesOfParts>
    <vt:vector size="287" baseType="lpstr">
      <vt:lpstr>Fragenkatalog</vt:lpstr>
      <vt:lpstr>Datenabzug</vt:lpstr>
      <vt:lpstr>Referrals</vt:lpstr>
      <vt:lpstr>Listen-Daten</vt:lpstr>
      <vt:lpstr>SIC-TAW-Codes</vt:lpstr>
      <vt:lpstr>Prämie - Arag</vt:lpstr>
      <vt:lpstr>Arag-Tarif</vt:lpstr>
      <vt:lpstr>Prämie - Roland</vt:lpstr>
      <vt:lpstr>Roland-Tarif</vt:lpstr>
      <vt:lpstr>Roland-PuA-Tarif</vt:lpstr>
      <vt:lpstr>Zuschläge-Tarif</vt:lpstr>
      <vt:lpstr>Zuschläge-PuA-Tarif</vt:lpstr>
      <vt:lpstr>Mappings</vt:lpstr>
      <vt:lpstr>VersichererDaten</vt:lpstr>
      <vt:lpstr>anzahlMitarbeiterGesamt</vt:lpstr>
      <vt:lpstr>anzahlMitarbeiterGF</vt:lpstr>
      <vt:lpstr>anzahlMitarbeiterTZ</vt:lpstr>
      <vt:lpstr>anzahlMitarbeiterVZ</vt:lpstr>
      <vt:lpstr>arag_PremiumAdjustment</vt:lpstr>
      <vt:lpstr>arag_Referral</vt:lpstr>
      <vt:lpstr>aragLimit1CoopBrokerNetProvision</vt:lpstr>
      <vt:lpstr>aragLimit1EmployeeGraduation</vt:lpstr>
      <vt:lpstr>aragLimit1HowdenNetProvision</vt:lpstr>
      <vt:lpstr>aragLimit1MinimumPremium</vt:lpstr>
      <vt:lpstr>aragLimit1Offered</vt:lpstr>
      <vt:lpstr>aragLimit1Premium</vt:lpstr>
      <vt:lpstr>aragLimit1PremiumPerEmployee</vt:lpstr>
      <vt:lpstr>aragLimit1PremiumType</vt:lpstr>
      <vt:lpstr>aragLimit1Stars</vt:lpstr>
      <vt:lpstr>aragLimit1Status</vt:lpstr>
      <vt:lpstr>aragLimit1SublimitOffered</vt:lpstr>
      <vt:lpstr>aragLimit1UsedClauses</vt:lpstr>
      <vt:lpstr>aragLimit2CoopBrokerNetProvision</vt:lpstr>
      <vt:lpstr>aragLimit2EmployeeGraduation</vt:lpstr>
      <vt:lpstr>aragLimit2HowdenNetProvision</vt:lpstr>
      <vt:lpstr>aragLimit2MinimumPremium</vt:lpstr>
      <vt:lpstr>aragLimit2Offered</vt:lpstr>
      <vt:lpstr>aragLimit2Premium</vt:lpstr>
      <vt:lpstr>aragLimit2PremiumPerEmployee</vt:lpstr>
      <vt:lpstr>aragLimit2PremiumType</vt:lpstr>
      <vt:lpstr>aragLimit2Stars</vt:lpstr>
      <vt:lpstr>aragLimit2Status</vt:lpstr>
      <vt:lpstr>aragLimit2SublimitOffered</vt:lpstr>
      <vt:lpstr>aragLimit2UsedClauses</vt:lpstr>
      <vt:lpstr>aragLimit3CoopBrokerNetProvision</vt:lpstr>
      <vt:lpstr>aragLimit3EmployeeGraduation</vt:lpstr>
      <vt:lpstr>aragLimit3HowdenNetProvision</vt:lpstr>
      <vt:lpstr>aragLimit3MinimumPremium</vt:lpstr>
      <vt:lpstr>aragLimit3Offered</vt:lpstr>
      <vt:lpstr>aragLimit3Premium</vt:lpstr>
      <vt:lpstr>aragLimit3PremiumPerEmployee</vt:lpstr>
      <vt:lpstr>aragLimit3PremiumType</vt:lpstr>
      <vt:lpstr>aragLimit3Stars</vt:lpstr>
      <vt:lpstr>aragLimit3Status</vt:lpstr>
      <vt:lpstr>aragLimit3SublimitOffered</vt:lpstr>
      <vt:lpstr>aragLimit3UsedClauses</vt:lpstr>
      <vt:lpstr>aragLimit4CoopBrokerNetProvision</vt:lpstr>
      <vt:lpstr>aragLimit4EmployeeGraduation</vt:lpstr>
      <vt:lpstr>aragLimit4HowdenNetProvision</vt:lpstr>
      <vt:lpstr>aragLimit4MinimumPremium</vt:lpstr>
      <vt:lpstr>aragLimit4Offered</vt:lpstr>
      <vt:lpstr>aragLimit4Premium</vt:lpstr>
      <vt:lpstr>aragLimit4PremiumPerEmployee</vt:lpstr>
      <vt:lpstr>aragLimit4PremiumType</vt:lpstr>
      <vt:lpstr>aragLimit4Stars</vt:lpstr>
      <vt:lpstr>aragLimit4Status</vt:lpstr>
      <vt:lpstr>aragLimit4SublimitOffered</vt:lpstr>
      <vt:lpstr>aragLimit4UsedClauses</vt:lpstr>
      <vt:lpstr>aragLimit5CoopBrokerNetProvision</vt:lpstr>
      <vt:lpstr>aragLimit5EmployeeGraduation</vt:lpstr>
      <vt:lpstr>aragLimit5HowdenNetProvision</vt:lpstr>
      <vt:lpstr>aragLimit5MinimumPremium</vt:lpstr>
      <vt:lpstr>aragLimit5Offered</vt:lpstr>
      <vt:lpstr>aragLimit5Premium</vt:lpstr>
      <vt:lpstr>aragLimit5PremiumPerEmployee</vt:lpstr>
      <vt:lpstr>aragLimit5PremiumType</vt:lpstr>
      <vt:lpstr>aragLimit5Stars</vt:lpstr>
      <vt:lpstr>aragLimit5Status</vt:lpstr>
      <vt:lpstr>aragLimit5SublimitOffered</vt:lpstr>
      <vt:lpstr>aragLimit5UsedClauses</vt:lpstr>
      <vt:lpstr>aragLimit6CoopBrokerNetProvision</vt:lpstr>
      <vt:lpstr>aragLimit6EmployeeGraduation</vt:lpstr>
      <vt:lpstr>aragLimit6HowdenNetProvision</vt:lpstr>
      <vt:lpstr>aragLimit6MinimumPremium</vt:lpstr>
      <vt:lpstr>aragLimit6Offered</vt:lpstr>
      <vt:lpstr>aragLimit6Premium</vt:lpstr>
      <vt:lpstr>aragLimit6PremiumPerEmployee</vt:lpstr>
      <vt:lpstr>aragLimit6PremiumType</vt:lpstr>
      <vt:lpstr>aragLimit6Stars</vt:lpstr>
      <vt:lpstr>aragLimit6Status</vt:lpstr>
      <vt:lpstr>aragLimit6SublimitOffered</vt:lpstr>
      <vt:lpstr>aragLimit6UsedClauses</vt:lpstr>
      <vt:lpstr>aragRiskManagerGlobalState</vt:lpstr>
      <vt:lpstr>aragTawCode</vt:lpstr>
      <vt:lpstr>aragTawDescription</vt:lpstr>
      <vt:lpstr>CoInsuredCompaniesExist</vt:lpstr>
      <vt:lpstr>coopbrokerCourtageHPST</vt:lpstr>
      <vt:lpstr>DaughterAndCoInsuredCompanies</vt:lpstr>
      <vt:lpstr>deckungssummevorversicherer</vt:lpstr>
      <vt:lpstr>geltungsbereich</vt:lpstr>
      <vt:lpstr>IndustryCodeSublimit</vt:lpstr>
      <vt:lpstr>kartellrechtAusgabe</vt:lpstr>
      <vt:lpstr>kartellrechtEingabe</vt:lpstr>
      <vt:lpstr>limit1</vt:lpstr>
      <vt:lpstr>limit2</vt:lpstr>
      <vt:lpstr>limit3</vt:lpstr>
      <vt:lpstr>OfferDeclined</vt:lpstr>
      <vt:lpstr>OfferReady</vt:lpstr>
      <vt:lpstr>OfferReferral</vt:lpstr>
      <vt:lpstr>OfferReferralNoPremium</vt:lpstr>
      <vt:lpstr>pbsAusgabe</vt:lpstr>
      <vt:lpstr>pbsEingabe</vt:lpstr>
      <vt:lpstr>previousContractInsurer</vt:lpstr>
      <vt:lpstr>RisikoFrageClaims1a</vt:lpstr>
      <vt:lpstr>RisikoFrageClaims1b</vt:lpstr>
      <vt:lpstr>RisikoFrageClaims1c</vt:lpstr>
      <vt:lpstr>RisikoFragen0a</vt:lpstr>
      <vt:lpstr>RisikoFragen0b</vt:lpstr>
      <vt:lpstr>RisikoFragen902</vt:lpstr>
      <vt:lpstr>RisikoFrageQ2a</vt:lpstr>
      <vt:lpstr>RisikoFrageQ2b</vt:lpstr>
      <vt:lpstr>RisikoFrageQ3a</vt:lpstr>
      <vt:lpstr>RisikoFrageQ4a</vt:lpstr>
      <vt:lpstr>RisikoFrageQ4b</vt:lpstr>
      <vt:lpstr>RisikoFrageQ4c</vt:lpstr>
      <vt:lpstr>RisikoFrageQ5a</vt:lpstr>
      <vt:lpstr>RisikoFrageQ5b</vt:lpstr>
      <vt:lpstr>RisikoFrageQ6</vt:lpstr>
      <vt:lpstr>rolandLimit1CoopBrokerNetProvision</vt:lpstr>
      <vt:lpstr>rolandLimit1HowdenNetProvision</vt:lpstr>
      <vt:lpstr>rolandLimit1Offered</vt:lpstr>
      <vt:lpstr>rolandLimit1Premium</vt:lpstr>
      <vt:lpstr>rolandLimit1Stars</vt:lpstr>
      <vt:lpstr>rolandLimit1Status</vt:lpstr>
      <vt:lpstr>rolandLimit1SublimitOffered</vt:lpstr>
      <vt:lpstr>rolandLimit1UsedClauses</vt:lpstr>
      <vt:lpstr>rolandLimit2CoopBrokerNetProvision</vt:lpstr>
      <vt:lpstr>rolandLimit2HowdenNetProvision</vt:lpstr>
      <vt:lpstr>rolandLimit2Offered</vt:lpstr>
      <vt:lpstr>rolandLimit2Premium</vt:lpstr>
      <vt:lpstr>rolandLimit2Stars</vt:lpstr>
      <vt:lpstr>rolandLimit2Status</vt:lpstr>
      <vt:lpstr>rolandLimit2SublimitOffered</vt:lpstr>
      <vt:lpstr>rolandLimit2UsedClauses</vt:lpstr>
      <vt:lpstr>rolandLimit3CoopBrokerNetProvision</vt:lpstr>
      <vt:lpstr>rolandLimit3HowdenNetProvision</vt:lpstr>
      <vt:lpstr>rolandLimit3Offered</vt:lpstr>
      <vt:lpstr>rolandLimit3Premium</vt:lpstr>
      <vt:lpstr>rolandLimit3Stars</vt:lpstr>
      <vt:lpstr>rolandLimit3Status</vt:lpstr>
      <vt:lpstr>rolandLimit3SublimitOffered</vt:lpstr>
      <vt:lpstr>rolandLimit3UsedClauses</vt:lpstr>
      <vt:lpstr>rolandLimit4CoopBrokerNetProvision</vt:lpstr>
      <vt:lpstr>rolandLimit4HowdenNetProvision</vt:lpstr>
      <vt:lpstr>rolandLimit4Offered</vt:lpstr>
      <vt:lpstr>rolandLimit4Premium</vt:lpstr>
      <vt:lpstr>rolandLimit4Stars</vt:lpstr>
      <vt:lpstr>rolandLimit4Status</vt:lpstr>
      <vt:lpstr>rolandLimit4SublimitOffered</vt:lpstr>
      <vt:lpstr>rolandLimit4UsedClauses</vt:lpstr>
      <vt:lpstr>rolandLimit5CoopBrokerNetProvision</vt:lpstr>
      <vt:lpstr>rolandLimit5HowdenNetProvision</vt:lpstr>
      <vt:lpstr>rolandLimit5Offered</vt:lpstr>
      <vt:lpstr>rolandLimit5Premium</vt:lpstr>
      <vt:lpstr>rolandLimit5Stars</vt:lpstr>
      <vt:lpstr>rolandLimit5Status</vt:lpstr>
      <vt:lpstr>rolandLimit5SublimitOffered</vt:lpstr>
      <vt:lpstr>rolandLimit5UsedClauses</vt:lpstr>
      <vt:lpstr>rolandLimit6CoopBrokerNetProvision</vt:lpstr>
      <vt:lpstr>rolandLimit6HowdenNetProvision</vt:lpstr>
      <vt:lpstr>rolandLimit6Offered</vt:lpstr>
      <vt:lpstr>rolandLimit6Premium</vt:lpstr>
      <vt:lpstr>rolandLimit6Stars</vt:lpstr>
      <vt:lpstr>rolandLimit6Status</vt:lpstr>
      <vt:lpstr>rolandLimit6SublimitOffered</vt:lpstr>
      <vt:lpstr>rolandLimit6UsedClauses</vt:lpstr>
      <vt:lpstr>rolandRiskManagerGlobalState</vt:lpstr>
      <vt:lpstr>rolandTawCode</vt:lpstr>
      <vt:lpstr>rolandTawDescription</vt:lpstr>
      <vt:lpstr>SIC2branche</vt:lpstr>
      <vt:lpstr>StammDaten2</vt:lpstr>
      <vt:lpstr>StammDaten3</vt:lpstr>
      <vt:lpstr>strafRSAusgabe</vt:lpstr>
      <vt:lpstr>strafRSEingabe</vt:lpstr>
      <vt:lpstr>sublimit1</vt:lpstr>
      <vt:lpstr>sublimit2</vt:lpstr>
      <vt:lpstr>sublimit3</vt:lpstr>
      <vt:lpstr>TAWcode</vt:lpstr>
      <vt:lpstr>TAWDescription</vt:lpstr>
      <vt:lpstr>triggerAnzahlMitarbeiterGesamtReason</vt:lpstr>
      <vt:lpstr>triggeraragAnzahlMitarbeiterGesamtValue</vt:lpstr>
      <vt:lpstr>triggeraragCoInsuredCompaniesExistValue</vt:lpstr>
      <vt:lpstr>triggeraragCompaniesOutsideofGerValue</vt:lpstr>
      <vt:lpstr>triggeraragRisikoFrageClaims1aValue</vt:lpstr>
      <vt:lpstr>triggeraragRisikoFrageClaims1bValue</vt:lpstr>
      <vt:lpstr>triggeraragRisikoFragen0aValue</vt:lpstr>
      <vt:lpstr>triggeraragRisikoFragen0Value</vt:lpstr>
      <vt:lpstr>triggeraragRisikoFrageQ2aValue</vt:lpstr>
      <vt:lpstr>triggeraragRisikoFrageQ2bValue</vt:lpstr>
      <vt:lpstr>triggeraragRisikoFrageQ3aValue</vt:lpstr>
      <vt:lpstr>triggeraragRisikoFrageQ5aValue</vt:lpstr>
      <vt:lpstr>triggeraragRisikoFrageQ5bValue</vt:lpstr>
      <vt:lpstr>triggeraragRiskManagerGlobalStateValue</vt:lpstr>
      <vt:lpstr>triggeraragSIC2brancheValue</vt:lpstr>
      <vt:lpstr>triggeraragStammDaten2Value</vt:lpstr>
      <vt:lpstr>triggeraragStammDaten3Value</vt:lpstr>
      <vt:lpstr>triggeraragVorvertragValue</vt:lpstr>
      <vt:lpstr>triggerCoInsuredCompaniesExistReason</vt:lpstr>
      <vt:lpstr>triggerCompaniesOutsideofGerReason</vt:lpstr>
      <vt:lpstr>triggerKartellrolandRisikoFrageQ4aValue</vt:lpstr>
      <vt:lpstr>triggerKartellrolandRisikoFrageQ4bValue</vt:lpstr>
      <vt:lpstr>triggerKartellrolandRisikoFrageQ4cValue</vt:lpstr>
      <vt:lpstr>triggerLimit1aragLimitAragValue</vt:lpstr>
      <vt:lpstr>triggerLimit1aragPremiumAragValue</vt:lpstr>
      <vt:lpstr>triggerLimit1aragSublimitAragValue</vt:lpstr>
      <vt:lpstr>triggerLimit1rolandLimitRolandValue</vt:lpstr>
      <vt:lpstr>triggerLimit1rolandPremiumRolandValue</vt:lpstr>
      <vt:lpstr>triggerLimit1rolandSublimitRolandValue</vt:lpstr>
      <vt:lpstr>triggerLimit2aragLimitAragValue</vt:lpstr>
      <vt:lpstr>triggerLimit2aragPremiumAragValue</vt:lpstr>
      <vt:lpstr>triggerLimit2rolandLimitRolandValue</vt:lpstr>
      <vt:lpstr>triggerLimit2rolandPremiumRolandValue</vt:lpstr>
      <vt:lpstr>triggerLimit3aragLimitAragValue</vt:lpstr>
      <vt:lpstr>triggerLimit3aragPremiumAragValue</vt:lpstr>
      <vt:lpstr>triggerLimit3aragSublimitAragValue</vt:lpstr>
      <vt:lpstr>triggerLimit3rolandLimitRolandValue</vt:lpstr>
      <vt:lpstr>triggerLimit3rolandPremiumRolandValue</vt:lpstr>
      <vt:lpstr>triggerLimit3rolandSublimitRolandValue</vt:lpstr>
      <vt:lpstr>triggerLimit4aragLimitAragValue</vt:lpstr>
      <vt:lpstr>triggerLimit4aragPremiumAragValue</vt:lpstr>
      <vt:lpstr>triggerLimit4rolandLimitRolandValue</vt:lpstr>
      <vt:lpstr>triggerLimit4rolandPremiumRolandValue</vt:lpstr>
      <vt:lpstr>triggerLimit5aragLimitAragValue</vt:lpstr>
      <vt:lpstr>triggerLimit5aragPremiumAragValue</vt:lpstr>
      <vt:lpstr>triggerLimit5aragSublimitAragValue</vt:lpstr>
      <vt:lpstr>triggerLimit5rolandLimitRolandValue</vt:lpstr>
      <vt:lpstr>triggerLimit5rolandPremiumRolandValue</vt:lpstr>
      <vt:lpstr>triggerLimit5rolandSublimitRolandValue</vt:lpstr>
      <vt:lpstr>triggerLimit6aragLimitAragValue</vt:lpstr>
      <vt:lpstr>triggerLimit6aragPremiumAragValue</vt:lpstr>
      <vt:lpstr>triggerLimit6rolandLimitRolandValue</vt:lpstr>
      <vt:lpstr>triggerLimit6rolandPremiumRolandValue</vt:lpstr>
      <vt:lpstr>triggerLimitAragReason</vt:lpstr>
      <vt:lpstr>triggerLimitRolandReason</vt:lpstr>
      <vt:lpstr>triggerPremiumAragReason</vt:lpstr>
      <vt:lpstr>triggerPremiumRolandReason</vt:lpstr>
      <vt:lpstr>triggerRisikoFrageClaims1aReason</vt:lpstr>
      <vt:lpstr>triggerRisikoFrageClaims1bReason</vt:lpstr>
      <vt:lpstr>triggerRisikoFragen0aReason</vt:lpstr>
      <vt:lpstr>triggerRisikoFragen0Reason</vt:lpstr>
      <vt:lpstr>triggerRisikoFrageQ2aReason</vt:lpstr>
      <vt:lpstr>triggerRisikoFrageQ2bReason</vt:lpstr>
      <vt:lpstr>triggerRisikoFrageQ3aReason</vt:lpstr>
      <vt:lpstr>triggerRisikoFrageQ4aReason</vt:lpstr>
      <vt:lpstr>triggerRisikoFrageQ4bReason</vt:lpstr>
      <vt:lpstr>triggerRisikoFrageQ4cReason</vt:lpstr>
      <vt:lpstr>triggerRisikoFrageQ5aReason</vt:lpstr>
      <vt:lpstr>triggerRisikoFrageQ5bReason</vt:lpstr>
      <vt:lpstr>triggerRiskManagerGlobalStateReason</vt:lpstr>
      <vt:lpstr>triggerrolandAnzahlMitarbeiterGesamtValue</vt:lpstr>
      <vt:lpstr>triggerrolandCoInsuredCompaniesExistValue</vt:lpstr>
      <vt:lpstr>triggerrolandCompaniesOutsideofGerValue</vt:lpstr>
      <vt:lpstr>triggerrolandRisikoFrageClaims1aValue</vt:lpstr>
      <vt:lpstr>triggerrolandRisikoFrageClaims1bValue</vt:lpstr>
      <vt:lpstr>triggerrolandRisikoFragen0aValue</vt:lpstr>
      <vt:lpstr>triggerrolandRisikoFragen0Value</vt:lpstr>
      <vt:lpstr>triggerrolandRisikoFrageQ2aValue</vt:lpstr>
      <vt:lpstr>triggerrolandRisikoFrageQ2bValue</vt:lpstr>
      <vt:lpstr>triggerrolandRisikoFrageQ3aValue</vt:lpstr>
      <vt:lpstr>triggerrolandRisikoFrageQ5aValue</vt:lpstr>
      <vt:lpstr>triggerrolandRisikoFrageQ5bValue</vt:lpstr>
      <vt:lpstr>triggerrolandRiskManagerGlobalStateValue</vt:lpstr>
      <vt:lpstr>triggerrolandSIC2brancheValue</vt:lpstr>
      <vt:lpstr>triggerrolandStammDaten3Value</vt:lpstr>
      <vt:lpstr>triggerrolandVorvertragValue</vt:lpstr>
      <vt:lpstr>triggerSIC2brancheReason</vt:lpstr>
      <vt:lpstr>triggerStammDaten2Reason</vt:lpstr>
      <vt:lpstr>triggerStammDaten3Reason</vt:lpstr>
      <vt:lpstr>triggerSublimitAragReason</vt:lpstr>
      <vt:lpstr>triggerSublimitRolandReason</vt:lpstr>
      <vt:lpstr>triggerVorvertragReason</vt:lpstr>
      <vt:lpstr>uhaftAusgabe</vt:lpstr>
      <vt:lpstr>uhaftEingabe</vt:lpstr>
      <vt:lpstr>versicherungsscheinnummer</vt:lpstr>
      <vt:lpstr>vorvertrag</vt:lpstr>
      <vt:lpstr>zahlweiseAusgabe</vt:lpstr>
      <vt:lpstr>zahlweiseEingabe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Oganian</cp:lastModifiedBy>
  <dcterms:modified xsi:type="dcterms:W3CDTF">2025-11-25T10:20:42Z</dcterms:modified>
</cp:coreProperties>
</file>